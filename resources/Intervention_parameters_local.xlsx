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pickles_ic_ac_uk/Documents/Dropbox_copy/Hepatitis B/Modelling/"/>
    </mc:Choice>
  </mc:AlternateContent>
  <xr:revisionPtr revIDLastSave="245" documentId="13_ncr:1_{27784630-3534-4B11-A251-D9C00B8973FF}" xr6:coauthVersionLast="47" xr6:coauthVersionMax="47" xr10:uidLastSave="{1D9D8FF1-47F5-44FF-A2D1-4D75A91D6986}"/>
  <bookViews>
    <workbookView xWindow="-110" yWindow="-110" windowWidth="19420" windowHeight="11500" firstSheet="1" activeTab="2" xr2:uid="{32AE504A-42D4-4D2F-BBAF-CD32E5E95CB5}"/>
  </bookViews>
  <sheets>
    <sheet name="Scenario_descriptions" sheetId="4" r:id="rId1"/>
    <sheet name="CountryParameters" sheetId="1" r:id="rId2"/>
    <sheet name="GlobalParams" sheetId="3" r:id="rId3"/>
    <sheet name="WHO_region_parameters" sheetId="2" r:id="rId4"/>
    <sheet name="Notes" sheetId="5" r:id="rId5"/>
  </sheets>
  <definedNames>
    <definedName name="Dx_infacilitytesting_acceptability">GlobalParams!$B$18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2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</calcChain>
</file>

<file path=xl/sharedStrings.xml><?xml version="1.0" encoding="utf-8"?>
<sst xmlns="http://schemas.openxmlformats.org/spreadsheetml/2006/main" count="531" uniqueCount="414">
  <si>
    <t>Scenario index</t>
  </si>
  <si>
    <t>Scenario name in model code</t>
  </si>
  <si>
    <t>Scenario name</t>
  </si>
  <si>
    <t>Description</t>
  </si>
  <si>
    <t>Data sources</t>
  </si>
  <si>
    <t>Scripts used</t>
  </si>
  <si>
    <t>Other potential data sources - to discuss if needed</t>
  </si>
  <si>
    <t>TBD</t>
  </si>
  <si>
    <t>i_scenario_zero</t>
  </si>
  <si>
    <t>Natural epidemiology</t>
  </si>
  <si>
    <r>
      <t xml:space="preserve">No intervention ever (including historically) - no BD, HepB3, PAP or treatment. </t>
    </r>
    <r>
      <rPr>
        <b/>
        <sz val="11"/>
        <color theme="1"/>
        <rFont val="Aptos Narrow"/>
        <family val="2"/>
        <scheme val="minor"/>
      </rPr>
      <t>NOT CURRENTLY IMPLEMENTED</t>
    </r>
  </si>
  <si>
    <t>i_scenario_SQ</t>
  </si>
  <si>
    <t>Status quo (SQ)</t>
  </si>
  <si>
    <t>Future interventions all remain fixed at 2024 coverage levels</t>
  </si>
  <si>
    <t>WUENIC 2025 (BD and HepB3); Polaris (PAP, Dx, Tx)</t>
  </si>
  <si>
    <t>i_scenario_ContImp</t>
  </si>
  <si>
    <t>Continued improvement (ContImp)</t>
  </si>
  <si>
    <t>BD (in countries with BD or which are GAVI-eligible) and HepB3 coverage both increase at a fixed rate (rates ContImp_BD_annual_increase and ContImp_HepB3_annual_increase in CountryParameters are both currently 0). 
PAP increases to 5% of HVL (or remains at current coverage of HVL if higher).
Diagnosis and treatment both increase at fixed rates (set in GlobalParams, ContImp_Dx_annual_increase and  ContImp_TxifDx_annual_increase) - these rates are the 75th percentile of the empirical average rate of increase of Dx and Tx across the corresponding WHO region over the recent past: 5 yrs used for Dx to get more recent trends; 10 yrs used for Tx due to smaller number)</t>
  </si>
  <si>
    <t>Tx and Dx slopes from analysis of Polaris. PAP coverage is an assumption. Note that BD will be low (zero right now) in GAVI-eligible countries which don't have BD yet because they have the same rate of increase as countries which already have BD</t>
  </si>
  <si>
    <t>i_scenario_ContImp_plusB3</t>
  </si>
  <si>
    <t>ContImp + HepB3</t>
  </si>
  <si>
    <t>HepB3 increasing to WHO target (90%) from 2026-2029 (3 yrs) unless HepB3 coverage already higher. BD, PAP Dx and Tx follow ContImp scenario.</t>
  </si>
  <si>
    <t>Note current median coverage is 87% (IQR 74-94%, range=39-99%)</t>
  </si>
  <si>
    <t>i_scenario_ContImp_plusBD_IF</t>
  </si>
  <si>
    <t>ContImp + in-facility BD optimisation</t>
  </si>
  <si>
    <t>BD coverage increases to value BD_in_facility_acceptance_contimp (see GlobalParams worksheet) times country-level in-facility births over 2026-2031, unless existing coverage is higher in which case it remains fixed at that level.</t>
  </si>
  <si>
    <t>i_scenario_ContImp_plusBD_IF_OOF</t>
  </si>
  <si>
    <t>ContImp + combined BD IF optimisation/OOF expansion</t>
  </si>
  <si>
    <t xml:space="preserve">In-facility BD scales up as in-facility BD optimisation; OOF BD scales to </t>
  </si>
  <si>
    <t>i_scenario_ContImp_plusBD_OOF</t>
  </si>
  <si>
    <t>ContImp + out-of-facility BD expansion</t>
  </si>
  <si>
    <t>In-facility BD scales up as ContImp, and OOF BD scales up to  60% coverage over 2026-2031. BD introduced to countries without BD (including non-GAVI eligible) - reaching (IF + 60% * OOF) coverage.</t>
  </si>
  <si>
    <t>Mentimeter: increase in BD through CHW 59%, CPAD 40.8%, MAP 50.8%.</t>
  </si>
  <si>
    <t>i_scenario_ContImp_plusPAP_HVL_targeted</t>
  </si>
  <si>
    <t>ContImp + HVL PAP</t>
  </si>
  <si>
    <r>
      <t xml:space="preserve">ContImp + X% PAP coverage of high VL (X%=access to VL monitoring). 
</t>
    </r>
    <r>
      <rPr>
        <i/>
        <sz val="11"/>
        <color theme="1"/>
        <rFont val="Aptos Narrow"/>
        <family val="2"/>
        <scheme val="minor"/>
      </rPr>
      <t>Note that we currently assume PAP and BD are independent (so p(PAP and BD) = p(PAP)*P(BD))</t>
    </r>
    <r>
      <rPr>
        <sz val="11"/>
        <color theme="1"/>
        <rFont val="Aptos Narrow"/>
        <family val="2"/>
        <scheme val="minor"/>
      </rPr>
      <t xml:space="preserve"> for this and other PAP scenarios - maybe investigate in sensitivity analysis?</t>
    </r>
  </si>
  <si>
    <t xml:space="preserve">Mentimeter: “Assuming continuation of current pathways only, what antiviral prophylaxis in pregnancy coverage (%) is realistically achievable by 2030?”  - 70.7% </t>
  </si>
  <si>
    <t>i_scenario_ContImp_plusPAP_PoC</t>
  </si>
  <si>
    <t>ContImp + PoC eligibility PAP</t>
  </si>
  <si>
    <t>Coverage up to ANC-1 with loss from diagnostic accuracy (PAP_PoC_sensitivity from GlobalParams, currently 90%) among HVL and (1-specificity) among LVL (PAP_PoC_specificity from GlobalParams, currently 90%).</t>
  </si>
  <si>
    <t>i_scenario_ContImp_plusPAP_all</t>
  </si>
  <si>
    <t>ContImp + PAP (universal)</t>
  </si>
  <si>
    <t xml:space="preserve">Coverage up to ANC-1 for both HVL and LVL.
</t>
  </si>
  <si>
    <t>ContImp + ANC testing</t>
  </si>
  <si>
    <t>Increased diagnosis among women attending ANC-1</t>
  </si>
  <si>
    <t>To do - get ANC-1 data by country, ideally by age group. If only total ANC-1 available, use UNPD data on fertility by age group.</t>
  </si>
  <si>
    <t>i_scenario_ContImp_plusDx_BirthCohort</t>
  </si>
  <si>
    <t>ContImp + birth cohort testing</t>
  </si>
  <si>
    <t>Anyone born before 5 years of country introduction of HepB3. Coverage 50% TBC.</t>
  </si>
  <si>
    <t>Coverage TBD</t>
  </si>
  <si>
    <t>ContImp + in-facility testing</t>
  </si>
  <si>
    <t>ContImp + perfect community-based screening</t>
  </si>
  <si>
    <t>i_scenario_ContImp_plusDx_IntegratedServices</t>
  </si>
  <si>
    <t>ContImp + Integrated services</t>
  </si>
  <si>
    <t>CompInt + PoC Tx eligibility</t>
  </si>
  <si>
    <t>i_scenario_ContImp_plusTx_treatall</t>
  </si>
  <si>
    <t>ContImp + treat-all</t>
  </si>
  <si>
    <t>Same-day test and treat with immediate initiation regardless of clinical status</t>
  </si>
  <si>
    <t>i_scenario_ContImp_plusTx_LA</t>
  </si>
  <si>
    <t>ContImp + long-acting Tx</t>
  </si>
  <si>
    <t>i_scenario_ContImp_plusDecentralisedDxTx</t>
  </si>
  <si>
    <t>ContImp + decentralisation</t>
  </si>
  <si>
    <t>Decentralisation of diagnosis and treatment services, allowing higher coverage of diagnosis  and treatment outside of urban centres</t>
  </si>
  <si>
    <t>Both diagnosis and treatment coverage scale like (rural+urban)/(urban). There is also a potential increase in adherence from decentralisation - look into ART adherence clubs</t>
  </si>
  <si>
    <t>ISO</t>
  </si>
  <si>
    <t>Country</t>
  </si>
  <si>
    <t>WHO_region</t>
  </si>
  <si>
    <t>ContImp_BD_annual_increase</t>
  </si>
  <si>
    <t>HasBDorGAVIeligible</t>
  </si>
  <si>
    <t>ContImp_HepB3_annual_increase</t>
  </si>
  <si>
    <t>ContImp_PAP_final_coverage</t>
  </si>
  <si>
    <t>ContImp_Dx_annual_increase</t>
  </si>
  <si>
    <t>ContImp_TxifDx_annual_increase</t>
  </si>
  <si>
    <t>PAP_HVL_targeted_coverage</t>
  </si>
  <si>
    <t>PAP_PoC_coverage</t>
  </si>
  <si>
    <t>BirthCohortTest_year_first_BD</t>
  </si>
  <si>
    <t>BirthCohortCoverage</t>
  </si>
  <si>
    <t>AFG</t>
  </si>
  <si>
    <t>Afghanistan</t>
  </si>
  <si>
    <t>Eastern Mediterranean</t>
  </si>
  <si>
    <t>AGO</t>
  </si>
  <si>
    <t>Angola</t>
  </si>
  <si>
    <t>Africa</t>
  </si>
  <si>
    <t>ALB</t>
  </si>
  <si>
    <t>Albania</t>
  </si>
  <si>
    <t>Europe</t>
  </si>
  <si>
    <t>ARM</t>
  </si>
  <si>
    <t>Armenia</t>
  </si>
  <si>
    <t>AZE</t>
  </si>
  <si>
    <t>Azerbaijan</t>
  </si>
  <si>
    <t>BDI</t>
  </si>
  <si>
    <t>Burundi</t>
  </si>
  <si>
    <t>BEN</t>
  </si>
  <si>
    <t>Benin</t>
  </si>
  <si>
    <t>BFA</t>
  </si>
  <si>
    <t>Burkina Faso</t>
  </si>
  <si>
    <t>BGD</t>
  </si>
  <si>
    <t>Bangladesh</t>
  </si>
  <si>
    <t>South-East Asia</t>
  </si>
  <si>
    <t>BIH</t>
  </si>
  <si>
    <t>Bosnia and Herzegovina</t>
  </si>
  <si>
    <t>BLR</t>
  </si>
  <si>
    <t>Belarus</t>
  </si>
  <si>
    <t>BLZ</t>
  </si>
  <si>
    <t>Belize</t>
  </si>
  <si>
    <t>Americas</t>
  </si>
  <si>
    <t>BOL</t>
  </si>
  <si>
    <t>Bolivia (Plurinational State of)</t>
  </si>
  <si>
    <t>BTN</t>
  </si>
  <si>
    <t>Bhutan</t>
  </si>
  <si>
    <t>CAF</t>
  </si>
  <si>
    <t>Central African Republic</t>
  </si>
  <si>
    <t>CHN</t>
  </si>
  <si>
    <t>China</t>
  </si>
  <si>
    <t>Western Pacific</t>
  </si>
  <si>
    <t>CIV</t>
  </si>
  <si>
    <t>CÃ´te d'Ivoire</t>
  </si>
  <si>
    <t>CMR</t>
  </si>
  <si>
    <t>Cameroon</t>
  </si>
  <si>
    <t>COD</t>
  </si>
  <si>
    <t>Democratic Republic of the Congo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</si>
  <si>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</si>
  <si>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</si>
  <si>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</si>
  <si>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</si>
  <si>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</si>
  <si>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</si>
  <si>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</si>
  <si>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</si>
  <si>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CUB</t>
  </si>
  <si>
    <t>Cuba</t>
  </si>
  <si>
    <t>DJI</t>
  </si>
  <si>
    <t>Djibouti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</si>
  <si>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</si>
  <si>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</si>
  <si>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</si>
  <si>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</si>
  <si>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</si>
  <si>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</si>
  <si>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</si>
  <si>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</si>
  <si>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ETH</t>
  </si>
  <si>
    <t>Ethiopia</t>
  </si>
  <si>
    <t>FJI</t>
  </si>
  <si>
    <t>Fiji</t>
  </si>
  <si>
    <t>FSM</t>
  </si>
  <si>
    <t>Micronesia (Federated States of)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</si>
  <si>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</si>
  <si>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</si>
  <si>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</si>
  <si>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</si>
  <si>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</si>
  <si>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</si>
  <si>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</si>
  <si>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</si>
  <si>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</si>
  <si>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</si>
  <si>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</si>
  <si>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</si>
  <si>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</si>
  <si>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</si>
  <si>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</si>
  <si>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</si>
  <si>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</si>
  <si>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</si>
  <si>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IDN</t>
  </si>
  <si>
    <t>Indonesia</t>
  </si>
  <si>
    <t>IND</t>
  </si>
  <si>
    <t>India</t>
  </si>
  <si>
    <t>IRN</t>
  </si>
  <si>
    <t>Iran (Islamic Republic of)</t>
  </si>
  <si>
    <t>IRQ</t>
  </si>
  <si>
    <t>Iraq</t>
  </si>
  <si>
    <t>JAM</t>
  </si>
  <si>
    <t>Jamaica</t>
  </si>
  <si>
    <t>JOR</t>
  </si>
  <si>
    <t>Jordan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</si>
  <si>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</si>
  <si>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</si>
  <si>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</si>
  <si>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</si>
  <si>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</si>
  <si>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</si>
  <si>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</si>
  <si>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</si>
  <si>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LAO</t>
  </si>
  <si>
    <t>Lao People's Democratic Republic</t>
  </si>
  <si>
    <t>LBR</t>
  </si>
  <si>
    <t>Liberia</t>
  </si>
  <si>
    <t>LKA</t>
  </si>
  <si>
    <t>Sri Lanka</t>
  </si>
  <si>
    <t>LSO</t>
  </si>
  <si>
    <t>Lesotho</t>
  </si>
  <si>
    <t>MAR</t>
  </si>
  <si>
    <t>Morocco</t>
  </si>
  <si>
    <t>MDA</t>
  </si>
  <si>
    <t>Republic of Moldova</t>
  </si>
  <si>
    <t>MDG</t>
  </si>
  <si>
    <t>Madagascar</t>
  </si>
  <si>
    <t>MHL</t>
  </si>
  <si>
    <t>Marshall Islands</t>
  </si>
  <si>
    <t>MKD</t>
  </si>
  <si>
    <t>North Macedonia</t>
  </si>
  <si>
    <t>MLI</t>
  </si>
  <si>
    <t>Mali</t>
  </si>
  <si>
    <t>MMR</t>
  </si>
  <si>
    <t>Myanmar</t>
  </si>
  <si>
    <t>MNG</t>
  </si>
  <si>
    <t>Mongolia</t>
  </si>
  <si>
    <t>MOZ</t>
  </si>
  <si>
    <t>Mozambique</t>
  </si>
  <si>
    <t>MRT</t>
  </si>
  <si>
    <t>Mauritania</t>
  </si>
  <si>
    <t>MWI</t>
  </si>
  <si>
    <t>Malawi</t>
  </si>
  <si>
    <t>NAM</t>
  </si>
  <si>
    <t>Namibia</t>
  </si>
  <si>
    <t>NER</t>
  </si>
  <si>
    <t>Niger</t>
  </si>
  <si>
    <t>NGA</t>
  </si>
  <si>
    <t>Nigeria</t>
  </si>
  <si>
    <t>NIC</t>
  </si>
  <si>
    <t>NPL</t>
  </si>
  <si>
    <t>Nepal</t>
  </si>
  <si>
    <t>PAK</t>
  </si>
  <si>
    <t>Pakistan</t>
  </si>
  <si>
    <t>PER</t>
  </si>
  <si>
    <t>Peru</t>
  </si>
  <si>
    <t>PHL</t>
  </si>
  <si>
    <t>Philippines</t>
  </si>
  <si>
    <t>PNG</t>
  </si>
  <si>
    <t>Papua New Guinea</t>
  </si>
  <si>
    <t>PRK</t>
  </si>
  <si>
    <t>Democratic People's Republic of Korea</t>
  </si>
  <si>
    <t>PRY</t>
  </si>
  <si>
    <t>Paraguay</t>
  </si>
  <si>
    <t>RWA</t>
  </si>
  <si>
    <t>Rwanda</t>
  </si>
  <si>
    <t>SDN</t>
  </si>
  <si>
    <t>Sudan</t>
  </si>
  <si>
    <t>SEN</t>
  </si>
  <si>
    <t>Senegal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</si>
  <si>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</si>
  <si>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</si>
  <si>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</si>
  <si>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</si>
  <si>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</si>
  <si>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</si>
  <si>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</si>
  <si>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</si>
  <si>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</si>
  <si>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</si>
  <si>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</si>
  <si>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</si>
  <si>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</si>
  <si>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</si>
  <si>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SWZ</t>
  </si>
  <si>
    <t>Eswatini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</si>
  <si>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</si>
  <si>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</si>
  <si>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</si>
  <si>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</si>
  <si>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</si>
  <si>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</si>
  <si>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</si>
  <si>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</si>
  <si>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</si>
  <si>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</si>
  <si>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</si>
  <si>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</si>
  <si>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</si>
  <si>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</si>
  <si>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</si>
  <si>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</si>
  <si>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TUN</t>
  </si>
  <si>
    <t>Tunisia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</si>
  <si>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</si>
  <si>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</si>
  <si>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</si>
  <si>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</si>
  <si>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</si>
  <si>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</si>
  <si>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</si>
  <si>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</si>
  <si>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UZB</t>
  </si>
  <si>
    <t>Uzbekistan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</si>
  <si>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</si>
  <si>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</si>
  <si>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</si>
  <si>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</si>
  <si>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</si>
  <si>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</si>
  <si>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</si>
  <si>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</si>
  <si>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</si>
  <si>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</si>
  <si>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</si>
  <si>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</si>
  <si>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</si>
  <si>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</si>
  <si>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</si>
  <si>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</si>
  <si>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Parameter</t>
  </si>
  <si>
    <t>Value</t>
  </si>
  <si>
    <t>Notes</t>
  </si>
  <si>
    <t>BD_in_facility_acceptance_contimp</t>
  </si>
  <si>
    <t>BD_oof_coverage</t>
  </si>
  <si>
    <t>HepB3_WHO_target_coverage</t>
  </si>
  <si>
    <t>https://iris.who.int/server/api/core/bitstreams/6b18ac34-f56a-466e-9660-b5653cb52ef0/content (Accessed 29 July 2026) - see WHO_globalstrategies_elim_HIV_HBV_HCV_2022_2030.pdf</t>
  </si>
  <si>
    <t>Start_ContImp+HepB3</t>
  </si>
  <si>
    <t>Assumption: increasing HepB3 to WHO target takes 3 years, and can start now</t>
  </si>
  <si>
    <t>End_ContImp+HepB3</t>
  </si>
  <si>
    <t>Assumption</t>
  </si>
  <si>
    <t>PAP_PoC_sensitivity</t>
  </si>
  <si>
    <t>PAP_PoC_specificity</t>
  </si>
  <si>
    <t>Dx_birthcohort_coverage</t>
  </si>
  <si>
    <t>TBC</t>
  </si>
  <si>
    <t>Dx_T_birthcohort_start</t>
  </si>
  <si>
    <t>Dx_T_birthcohort_end</t>
  </si>
  <si>
    <t>DX_community_screening_coverage</t>
  </si>
  <si>
    <t>PROLIFICA was 69%</t>
  </si>
  <si>
    <t>Dx_community_screening_min_age</t>
  </si>
  <si>
    <t>All ages &gt;30 assumption</t>
  </si>
  <si>
    <t>Dx_community_screening_max_age</t>
  </si>
  <si>
    <t>All ages &gt;30</t>
  </si>
  <si>
    <t>BirthCohort_extrayears</t>
  </si>
  <si>
    <t>Birth cohort includes those born within 5 years of introduction of HepB3 (to account for scale-up). E.g. if HepB3 introduced in 1995, birth cohort would include anyone born before 2000</t>
  </si>
  <si>
    <t>Cont_Imp_Dx_annual_increase</t>
  </si>
  <si>
    <t>Cont_Imp_TxifDx_annual_increase</t>
  </si>
  <si>
    <t>CountryParameters HasBDorGAVIeligible from https://www.globalhep.org/sites/default/files/content/document/Gavi HepB programme for CGHE.pdf (Accessed 29/7/2026)</t>
  </si>
  <si>
    <t>Rate from % accessing health facility in 5 years. This can be obtained (for a subset of countries worldwide) from the 2002-2004 World Health Survey (https://apps.who.int/healthinfo/systems/surveydata/index.php/collections/whs – MP has applied for access 28/7/2026.)</t>
  </si>
  <si>
    <t>Increased diagnosis rate (by age and sex?) from individuals being offered opt-out testing when in health facilities</t>
  </si>
  <si>
    <t>PROLIFICA study got 69% coverage - so assume 60%</t>
  </si>
  <si>
    <t>ContImp + community-based screening</t>
  </si>
  <si>
    <r>
      <t xml:space="preserve">Community-based screening. </t>
    </r>
    <r>
      <rPr>
        <b/>
        <i/>
        <sz val="11"/>
        <color theme="1"/>
        <rFont val="Aptos Narrow"/>
        <family val="2"/>
        <scheme val="minor"/>
      </rPr>
      <t>To check - is this one-off?</t>
    </r>
  </si>
  <si>
    <r>
      <t xml:space="preserve">Perfect (100%) community-based screening as a one-off. </t>
    </r>
    <r>
      <rPr>
        <b/>
        <i/>
        <sz val="11"/>
        <color theme="1"/>
        <rFont val="Aptos Narrow"/>
        <family val="2"/>
        <scheme val="minor"/>
      </rPr>
      <t>To check - are we definitely running this scenario?</t>
    </r>
  </si>
  <si>
    <t>Improved linkage through PoC treatment eligibility test</t>
  </si>
  <si>
    <t>B-simple?</t>
  </si>
  <si>
    <t>Placeholder assumption of retention/adherence of 95%.</t>
  </si>
  <si>
    <t>No current data (e.g. LA-ART HIV not currently rolled out)</t>
  </si>
  <si>
    <t>40% effectiveness by 2030, Everyone sAG+ eligible.</t>
  </si>
  <si>
    <t xml:space="preserve">TBC - Bepi levels cure (20% sAG+) or stakeholder mentimeter (40% coverage). </t>
  </si>
  <si>
    <t>i_scenario_ContImp_plusTx_cure_Bepi</t>
  </si>
  <si>
    <t>i_scenario_ContImp_plusTx_cure_improved</t>
  </si>
  <si>
    <t>ContImp + Bepi-type cure</t>
  </si>
  <si>
    <t>ContImp + hypothetical cure</t>
  </si>
  <si>
    <t>Functional cure for Hepatitis B introduced, with Bepi-levels of effectiveness</t>
  </si>
  <si>
    <t>Functional cure for Hepatitis B introduced at higher (40%) effectiveness</t>
  </si>
  <si>
    <t>i_scenario_ContImp_plusDx_Ifscreening</t>
  </si>
  <si>
    <t>i_scenario_ContImp_plusDx_ANCscreening</t>
  </si>
  <si>
    <t>i_scenario_ContImp_plusDx_CommunityScreening</t>
  </si>
  <si>
    <t>i_scenario_ContImp_plusDx_CommunityScreening_perfect</t>
  </si>
  <si>
    <t>i_scenario_ContImp_plusTx_PoCeligibility</t>
  </si>
  <si>
    <t>Dx_T_community_screening_start</t>
  </si>
  <si>
    <t>Dx_T_community_screening_end</t>
  </si>
  <si>
    <t>Nicaragua</t>
  </si>
  <si>
    <t>Decentralisation_prop_rural</t>
  </si>
  <si>
    <t>Integrated service delivery models - look at Stockdale review L GastroHep 2025, see which of the reviewed articles seems closest.</t>
  </si>
  <si>
    <t>PoC eligibility - B-simple. Check if Shevanthi can get the B-simple study protocol with power calculations for effect size</t>
  </si>
  <si>
    <t>Across countries I can look at whether HIV or non-communicable diseases has a bigger coverage, and use that?</t>
  </si>
  <si>
    <t>Opt-out testing: https://pubmed.ncbi.nlm.nih.gov/35702813/ is UK based for EDs (+similar) finding uptake 16-91%.</t>
  </si>
  <si>
    <t>Note - 69 countries have WHS, but 13 high-income (European) don't have section 7. In addition Turkiye should have that data but it is not in the dataset (and the report contains empty tables and blank pages!)</t>
  </si>
  <si>
    <r>
      <t xml:space="preserve">Data/WHS_WHO/WHS_analysis.R (and Data/WHS_WHO/WHS_preliminary_analysis.R). The former generates </t>
    </r>
    <r>
      <rPr>
        <b/>
        <sz val="11"/>
        <color theme="1"/>
        <rFont val="Aptos Narrow"/>
        <family val="2"/>
        <scheme val="minor"/>
      </rPr>
      <t>WHS_utilization.csv</t>
    </r>
  </si>
  <si>
    <t>Prop_access_healthservices</t>
  </si>
  <si>
    <t>Dx_infacilitytesting_acceptability</t>
  </si>
  <si>
    <t>Two reviews for high-income settings found a wide range of acceptability in EDs (Simmons HIV Med 2022 - 16-91%; Metcalfe HIV Med 2026 20-75%) so take rough mid-point</t>
  </si>
  <si>
    <t>Dx_coverage_with_infacilitytesting</t>
  </si>
  <si>
    <t>Bulstra PLoS Med 2021, Integrating HIV services and other health services: A systematic review and meta- Analysis. 
Triple elimination: https://www.clintonhealthaccess.org/wp-content/uploads/2026/03/CHAI-Integrated-Screening-Market-Memo-March-2026.pdf
Look at NCD and HIV service coverage indicators</t>
  </si>
  <si>
    <t>TBD - HIV (or triple elimination)? Look at NCD or HIV indicators</t>
  </si>
  <si>
    <t>Proportion of in-facility births where the mother will accept BD</t>
  </si>
  <si>
    <t>Proportion of OOFs which can get BD through some mechanism (e.g. MAP, CHWs)</t>
  </si>
  <si>
    <t>Value is median of BD/in-facility births across countries with BD</t>
  </si>
  <si>
    <t>Find the script/line that does this.</t>
  </si>
  <si>
    <t>The target for HepB3 coverage under scenarios increasing Hep B3 - we take this to be the WHO target (as HepB3 coverage is already high)</t>
  </si>
  <si>
    <t>The start of the HepB3 intervention.</t>
  </si>
  <si>
    <t>The time at which the HepB3 intervention reaches the target value.</t>
  </si>
  <si>
    <t>The sensitivity of the point-of-care test used for PAP eligibility (i.e. to determine high VL)</t>
  </si>
  <si>
    <t>The sensitivity of the PoC PAP test</t>
  </si>
  <si>
    <t>Start of birth cohort testing (when used)</t>
  </si>
  <si>
    <t>End of birth cohort testing (when used)</t>
  </si>
  <si>
    <t>Start of community screening testing (when used)</t>
  </si>
  <si>
    <t>End of community screening testing (when used)</t>
  </si>
  <si>
    <t>Coverage of community screening (when used)</t>
  </si>
  <si>
    <t>Probably should be longer than birth cohort testing</t>
  </si>
  <si>
    <t>Extras</t>
  </si>
  <si>
    <t>RRprogress_effective_TDFtreatment_nonCC</t>
  </si>
  <si>
    <t>RRprogress_effective_TDFtreatment_CC</t>
  </si>
  <si>
    <t>Relative rate of progression from one stage to the next when on effective tenofovir treatment (excluding developing CC/death)</t>
  </si>
  <si>
    <t>Relative rate of progression from stage to CC or death when on effective tenofovir treatment</t>
  </si>
  <si>
    <t>Relative rate of progression from one stage to the next when on tenofovir treatment but not adherent (excluding developing CC/death)</t>
  </si>
  <si>
    <t>Relative rate of progression from stage to CC or death when on tenofovir treatment but not adherent</t>
  </si>
  <si>
    <t>RRprogress_nonadherent_TDFtreatment_nonCC</t>
  </si>
  <si>
    <t>RRprogress_nonadherent_TDFtreatment_CC</t>
  </si>
  <si>
    <t>RRprogress_effective_LAtreatment_CC</t>
  </si>
  <si>
    <t>RRprogress_nonadherent_LAtreatment_nonCC</t>
  </si>
  <si>
    <t>RRprogress_nonadherent_LAtreatment_CC</t>
  </si>
  <si>
    <t>RRprogress_effective_LAtreatment_nonCC</t>
  </si>
  <si>
    <t>Relative rate of progression from one stage to the next when on effective long-acting treatment (excluding developing CC/death)</t>
  </si>
  <si>
    <t>Relative rate of progression from stage to CC or death when on effective long-acting treatment</t>
  </si>
  <si>
    <t>Relative rate of progression from one stage to the next when on long-acting treatment but not adherent (excluding developing CC/death)</t>
  </si>
  <si>
    <t>Relative rate of progression from stage to CC or death when on long-acting treatment but not adherent</t>
  </si>
  <si>
    <t>RRtrans_effective_LAtreatment</t>
  </si>
  <si>
    <t>RRtrans_nonadherent_LAtreatment</t>
  </si>
  <si>
    <t>RRtrans_effective_TDFtreatment</t>
  </si>
  <si>
    <t>RRtrans_nonadherent_TDFtreatment</t>
  </si>
  <si>
    <t>Relative risk of transmission from someone on effective LA treatment (compared to not on treatment)</t>
  </si>
  <si>
    <t>Relative risk of transmission from someone on LA treatment but not adherent (compared to not on treatment)</t>
  </si>
  <si>
    <t>Relative risk of transmission from someone on (current) TDF treatment but not adherent (compared to not on treatment)</t>
  </si>
  <si>
    <t>Relative risk of transmission from someone on effective (current) TDF treatment (compared to not on treatment)</t>
  </si>
  <si>
    <t>Coverage of testing (accepts test and collects results) among those in the birth cohort when birth cohort testing used</t>
  </si>
  <si>
    <t>prop_adhere_current</t>
  </si>
  <si>
    <t>Proportion of people who, when diagnosed and eligible, start effective treatment</t>
  </si>
  <si>
    <t>prop_nonadhere_current</t>
  </si>
  <si>
    <t>Proportion of people who, when diagnosed and eligible, start non-adherent treatment - the proportion who go out of care is then 1-(prop_adhere_current+prop_nonadhere_current)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</si>
</sst>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onsolas"/>
      <family val="3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sz val="7"/>
      <color rgb="FFBCBCBC"/>
      <name val="Lucida Consol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indent="2"/>
    </xf>
    <xf numFmtId="0" fontId="0" fillId="2" borderId="0" xfId="0" applyFill="1" applyAlignment="1">
      <alignment wrapText="1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3" fillId="0" borderId="0" xfId="1" applyAlignment="1">
      <alignment wrapText="1"/>
    </xf>
    <xf numFmtId="0" fontId="0" fillId="3" borderId="0" xfId="0" applyFill="1"/>
    <xf numFmtId="0" fontId="4" fillId="3" borderId="0" xfId="0" applyFont="1" applyFill="1" applyAlignment="1">
      <alignment wrapText="1"/>
    </xf>
    <xf numFmtId="0" fontId="1" fillId="3" borderId="0" xfId="0" applyFont="1" applyFill="1"/>
    <xf numFmtId="0" fontId="5" fillId="3" borderId="0" xfId="0" applyFont="1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4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ris.who.int/server/api/core/bitstreams/6b18ac34-f56a-466e-9660-b5653cb52ef0/content%20(Accessed%2029%20July%202026)%20-%20see%20WHO_globalstrategies_elim_HIV_HBV_HCV_2022_203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BB8A-40F9-424A-8318-4911268162FC}">
  <dimension ref="A1:H23"/>
  <sheetViews>
    <sheetView workbookViewId="0">
      <pane xSplit="1" ySplit="1" topLeftCell="C13" activePane="bottomRight" state="frozen"/>
      <selection pane="topRight" activeCell="B1" sqref="B1"/>
      <selection pane="bottomLeft" activeCell="A2" sqref="A2"/>
      <selection pane="bottomRight" activeCell="D18" sqref="D18"/>
    </sheetView>
  </sheetViews>
  <sheetFormatPr defaultRowHeight="14.5" x14ac:dyDescent="0.35"/>
  <cols>
    <col min="1" max="1" width="8.1796875" bestFit="1" customWidth="1"/>
    <col min="2" max="2" width="46.26953125" bestFit="1" customWidth="1"/>
    <col min="3" max="3" width="23.81640625" customWidth="1"/>
    <col min="4" max="4" width="110.453125" customWidth="1"/>
    <col min="5" max="5" width="42.81640625" bestFit="1" customWidth="1"/>
    <col min="6" max="6" width="42.81640625" customWidth="1"/>
    <col min="7" max="7" width="82.81640625" customWidth="1"/>
  </cols>
  <sheetData>
    <row r="1" spans="1:8" ht="29.15" customHeight="1" x14ac:dyDescent="0.3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</row>
    <row r="2" spans="1:8" x14ac:dyDescent="0.35">
      <c r="A2" s="10" t="s">
        <v>7</v>
      </c>
      <c r="B2" s="11" t="s">
        <v>8</v>
      </c>
      <c r="C2" s="10" t="s">
        <v>9</v>
      </c>
      <c r="D2" s="10" t="s">
        <v>10</v>
      </c>
      <c r="E2" s="12"/>
      <c r="F2" s="12"/>
      <c r="G2" s="13"/>
    </row>
    <row r="3" spans="1:8" x14ac:dyDescent="0.35">
      <c r="A3">
        <v>1</v>
      </c>
      <c r="B3" s="6" t="s">
        <v>11</v>
      </c>
      <c r="C3" t="s">
        <v>12</v>
      </c>
      <c r="D3" s="2" t="s">
        <v>13</v>
      </c>
      <c r="E3" t="s">
        <v>14</v>
      </c>
    </row>
    <row r="4" spans="1:8" ht="87" x14ac:dyDescent="0.35">
      <c r="A4">
        <v>2</v>
      </c>
      <c r="B4" s="6" t="s">
        <v>15</v>
      </c>
      <c r="C4" s="2" t="s">
        <v>16</v>
      </c>
      <c r="D4" s="5" t="s">
        <v>17</v>
      </c>
      <c r="E4" s="2" t="s">
        <v>18</v>
      </c>
      <c r="F4" s="2"/>
      <c r="H4" s="4"/>
    </row>
    <row r="5" spans="1:8" ht="43.5" customHeight="1" x14ac:dyDescent="0.35">
      <c r="A5">
        <v>3</v>
      </c>
      <c r="B5" s="6" t="s">
        <v>19</v>
      </c>
      <c r="C5" t="s">
        <v>20</v>
      </c>
      <c r="D5" s="2" t="s">
        <v>21</v>
      </c>
      <c r="G5" t="s">
        <v>22</v>
      </c>
      <c r="H5" s="4"/>
    </row>
    <row r="6" spans="1:8" ht="43.5" customHeight="1" x14ac:dyDescent="0.35">
      <c r="A6">
        <v>4</v>
      </c>
      <c r="B6" s="6" t="s">
        <v>23</v>
      </c>
      <c r="C6" s="2" t="s">
        <v>24</v>
      </c>
      <c r="D6" s="2" t="s">
        <v>25</v>
      </c>
      <c r="H6" s="4"/>
    </row>
    <row r="7" spans="1:8" ht="43.5" customHeight="1" x14ac:dyDescent="0.35">
      <c r="A7">
        <v>5</v>
      </c>
      <c r="B7" s="6" t="s">
        <v>26</v>
      </c>
      <c r="C7" s="2" t="s">
        <v>27</v>
      </c>
      <c r="D7" s="2" t="s">
        <v>28</v>
      </c>
      <c r="H7" s="4"/>
    </row>
    <row r="8" spans="1:8" ht="43.5" customHeight="1" x14ac:dyDescent="0.35">
      <c r="A8">
        <v>6</v>
      </c>
      <c r="B8" s="6" t="s">
        <v>29</v>
      </c>
      <c r="C8" s="2" t="s">
        <v>30</v>
      </c>
      <c r="D8" s="2" t="s">
        <v>31</v>
      </c>
      <c r="G8" t="s">
        <v>32</v>
      </c>
      <c r="H8" s="4"/>
    </row>
    <row r="9" spans="1:8" ht="43.5" customHeight="1" x14ac:dyDescent="0.35">
      <c r="A9">
        <v>7</v>
      </c>
      <c r="B9" s="6" t="s">
        <v>33</v>
      </c>
      <c r="C9" s="2" t="s">
        <v>34</v>
      </c>
      <c r="D9" s="2" t="s">
        <v>35</v>
      </c>
      <c r="G9" s="2" t="s">
        <v>36</v>
      </c>
      <c r="H9" s="4"/>
    </row>
    <row r="10" spans="1:8" ht="43.5" customHeight="1" x14ac:dyDescent="0.35">
      <c r="A10">
        <v>8</v>
      </c>
      <c r="B10" s="6" t="s">
        <v>37</v>
      </c>
      <c r="C10" s="2" t="s">
        <v>38</v>
      </c>
      <c r="D10" s="2" t="s">
        <v>39</v>
      </c>
    </row>
    <row r="11" spans="1:8" ht="43.5" customHeight="1" x14ac:dyDescent="0.35">
      <c r="A11">
        <v>9</v>
      </c>
      <c r="B11" s="6" t="s">
        <v>40</v>
      </c>
      <c r="C11" s="2" t="s">
        <v>41</v>
      </c>
      <c r="D11" s="2" t="s">
        <v>42</v>
      </c>
    </row>
    <row r="12" spans="1:8" ht="43.5" customHeight="1" x14ac:dyDescent="0.35">
      <c r="A12">
        <v>10</v>
      </c>
      <c r="B12" t="s">
        <v>349</v>
      </c>
      <c r="C12" s="2" t="s">
        <v>43</v>
      </c>
      <c r="D12" s="2" t="s">
        <v>44</v>
      </c>
      <c r="E12" s="5" t="s">
        <v>45</v>
      </c>
    </row>
    <row r="13" spans="1:8" ht="43.5" customHeight="1" x14ac:dyDescent="0.35">
      <c r="A13">
        <v>11</v>
      </c>
      <c r="B13" t="s">
        <v>46</v>
      </c>
      <c r="C13" s="2" t="s">
        <v>47</v>
      </c>
      <c r="D13" s="2" t="s">
        <v>48</v>
      </c>
      <c r="E13" t="s">
        <v>49</v>
      </c>
    </row>
    <row r="14" spans="1:8" ht="43.5" customHeight="1" x14ac:dyDescent="0.35">
      <c r="A14">
        <v>12</v>
      </c>
      <c r="B14" t="s">
        <v>348</v>
      </c>
      <c r="C14" s="2" t="s">
        <v>50</v>
      </c>
      <c r="D14" s="2" t="s">
        <v>331</v>
      </c>
      <c r="E14" s="2" t="s">
        <v>330</v>
      </c>
      <c r="F14" s="2" t="s">
        <v>362</v>
      </c>
      <c r="G14" s="2" t="s">
        <v>361</v>
      </c>
    </row>
    <row r="15" spans="1:8" ht="43.5" customHeight="1" x14ac:dyDescent="0.35">
      <c r="A15">
        <v>13</v>
      </c>
      <c r="B15" t="s">
        <v>350</v>
      </c>
      <c r="C15" s="2" t="s">
        <v>333</v>
      </c>
      <c r="D15" s="2" t="s">
        <v>334</v>
      </c>
      <c r="E15" t="s">
        <v>332</v>
      </c>
    </row>
    <row r="16" spans="1:8" ht="43.5" customHeight="1" x14ac:dyDescent="0.35">
      <c r="A16">
        <v>14</v>
      </c>
      <c r="B16" t="s">
        <v>351</v>
      </c>
      <c r="C16" s="2" t="s">
        <v>51</v>
      </c>
      <c r="D16" s="2" t="s">
        <v>335</v>
      </c>
    </row>
    <row r="17" spans="1:7" ht="43.5" customHeight="1" x14ac:dyDescent="0.35">
      <c r="A17">
        <v>15</v>
      </c>
      <c r="B17" t="s">
        <v>52</v>
      </c>
      <c r="C17" s="2" t="s">
        <v>53</v>
      </c>
      <c r="D17" s="8" t="s">
        <v>368</v>
      </c>
      <c r="G17" s="2" t="s">
        <v>367</v>
      </c>
    </row>
    <row r="18" spans="1:7" ht="43.5" customHeight="1" x14ac:dyDescent="0.35">
      <c r="A18">
        <v>16</v>
      </c>
      <c r="B18" t="s">
        <v>352</v>
      </c>
      <c r="C18" s="2" t="s">
        <v>54</v>
      </c>
      <c r="D18" t="s">
        <v>336</v>
      </c>
      <c r="E18" t="s">
        <v>337</v>
      </c>
    </row>
    <row r="19" spans="1:7" ht="43.5" customHeight="1" x14ac:dyDescent="0.35">
      <c r="A19">
        <v>17</v>
      </c>
      <c r="B19" t="s">
        <v>55</v>
      </c>
      <c r="C19" s="2" t="s">
        <v>56</v>
      </c>
      <c r="D19" t="s">
        <v>57</v>
      </c>
    </row>
    <row r="20" spans="1:7" ht="43.5" customHeight="1" x14ac:dyDescent="0.35">
      <c r="A20">
        <v>18</v>
      </c>
      <c r="B20" t="s">
        <v>58</v>
      </c>
      <c r="C20" s="2" t="s">
        <v>59</v>
      </c>
      <c r="D20" t="s">
        <v>338</v>
      </c>
      <c r="E20" s="2" t="s">
        <v>339</v>
      </c>
    </row>
    <row r="21" spans="1:7" ht="43.5" customHeight="1" x14ac:dyDescent="0.35">
      <c r="A21">
        <v>19</v>
      </c>
      <c r="B21" t="s">
        <v>60</v>
      </c>
      <c r="C21" s="2" t="s">
        <v>61</v>
      </c>
      <c r="D21" t="s">
        <v>62</v>
      </c>
      <c r="E21" s="2" t="s">
        <v>63</v>
      </c>
    </row>
    <row r="22" spans="1:7" ht="29" x14ac:dyDescent="0.35">
      <c r="A22">
        <v>20</v>
      </c>
      <c r="B22" t="s">
        <v>342</v>
      </c>
      <c r="C22" s="2" t="s">
        <v>344</v>
      </c>
      <c r="D22" t="s">
        <v>346</v>
      </c>
      <c r="E22" s="2" t="s">
        <v>341</v>
      </c>
    </row>
    <row r="23" spans="1:7" x14ac:dyDescent="0.35">
      <c r="A23">
        <v>21</v>
      </c>
      <c r="B23" t="s">
        <v>343</v>
      </c>
      <c r="C23" s="2" t="s">
        <v>345</v>
      </c>
      <c r="D23" t="s">
        <v>347</v>
      </c>
      <c r="E23" t="s">
        <v>340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FC61-4B68-4337-A066-5076E487245E}">
  <dimension ref="A1:O111"/>
  <sheetViews>
    <sheetView topLeftCell="B1" workbookViewId="0">
      <selection activeCell="D1" sqref="D1"/>
    </sheetView>
  </sheetViews>
  <sheetFormatPr defaultRowHeight="14.5" x14ac:dyDescent="0.35"/>
  <cols>
    <col min="1" max="1" width="4.81640625" bestFit="1" customWidth="1"/>
    <col min="2" max="2" width="26.453125" customWidth="1"/>
    <col min="3" max="3" width="19.453125" bestFit="1" customWidth="1"/>
    <col min="4" max="4" width="26.26953125" bestFit="1" customWidth="1"/>
    <col min="5" max="5" width="18.453125" bestFit="1" customWidth="1"/>
    <col min="6" max="6" width="30.26953125" bestFit="1" customWidth="1"/>
    <col min="7" max="7" width="25.453125" bestFit="1" customWidth="1"/>
    <col min="8" max="8" width="26.81640625" bestFit="1" customWidth="1"/>
    <col min="9" max="9" width="28.54296875" bestFit="1" customWidth="1"/>
    <col min="10" max="10" width="16.54296875" bestFit="1" customWidth="1"/>
    <col min="12" max="12" width="26" bestFit="1" customWidth="1"/>
    <col min="14" max="14" width="24.36328125" bestFit="1" customWidth="1"/>
    <col min="15" max="15" width="30.1796875" bestFit="1" customWidth="1"/>
  </cols>
  <sheetData>
    <row r="1" spans="1:15" x14ac:dyDescent="0.3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356</v>
      </c>
      <c r="O1" s="1" t="s">
        <v>366</v>
      </c>
    </row>
    <row r="2" spans="1:15" x14ac:dyDescent="0.35">
      <c r="A2" t="s">
        <v>77</v>
      </c>
      <c r="B2" t="s">
        <v>78</v>
      </c>
      <c r="C2" t="s">
        <v>79</v>
      </c>
      <c r="D2">
        <v>0</v>
      </c>
      <c r="E2">
        <v>1</v>
      </c>
      <c r="F2">
        <v>0</v>
      </c>
      <c r="G2">
        <v>0.05</v>
      </c>
      <c r="H2">
        <f>VLOOKUP(C2,WHO_region_parameters!$A$2:$C$7,2,FALSE)</f>
        <v>4.0000000000000001E-3</v>
      </c>
      <c r="I2">
        <f>VLOOKUP(C2,WHO_region_parameters!$A$2:$C$7,3,FALSE)</f>
        <v>1.2500000000000001E-2</v>
      </c>
      <c r="J2">
        <v>0.3</v>
      </c>
      <c r="K2">
        <v>0.6</v>
      </c>
      <c r="L2">
        <v>2007</v>
      </c>
      <c r="M2">
        <v>0.5</v>
      </c>
      <c r="N2">
        <v>0.16919000000000001</v>
      </c>
      <c r="O2">
        <f>VLOOKUP(C2,WHO_region_parameters!$A$2:$D$7,4,FALSE)*Dx_infacilitytesting_acceptability</f>
        <v>0.34718290865108348</v>
      </c>
    </row>
    <row r="3" spans="1:15" x14ac:dyDescent="0.35">
      <c r="A3" t="s">
        <v>80</v>
      </c>
      <c r="B3" t="s">
        <v>81</v>
      </c>
      <c r="C3" t="s">
        <v>82</v>
      </c>
      <c r="D3">
        <v>0</v>
      </c>
      <c r="E3" s="8">
        <v>0</v>
      </c>
      <c r="F3">
        <v>0</v>
      </c>
      <c r="G3">
        <v>0.05</v>
      </c>
      <c r="H3">
        <f>VLOOKUP(C3,WHO_region_parameters!$A$2:$C$7,2,FALSE)</f>
        <v>4.0000000000000001E-3</v>
      </c>
      <c r="I3">
        <f>VLOOKUP(C3,WHO_region_parameters!$A$2:$C$7,3,FALSE)</f>
        <v>0</v>
      </c>
      <c r="J3">
        <v>0.3</v>
      </c>
      <c r="K3">
        <v>0.6</v>
      </c>
      <c r="L3">
        <v>2007</v>
      </c>
      <c r="M3">
        <v>0.5</v>
      </c>
      <c r="N3">
        <v>0.24034</v>
      </c>
      <c r="O3">
        <f>VLOOKUP(C3,WHO_region_parameters!$A$2:$D$7,4,FALSE)*Dx_infacilitytesting_acceptability</f>
        <v>0.26594516366578902</v>
      </c>
    </row>
    <row r="4" spans="1:15" x14ac:dyDescent="0.35">
      <c r="A4" t="s">
        <v>83</v>
      </c>
      <c r="B4" t="s">
        <v>84</v>
      </c>
      <c r="C4" t="s">
        <v>85</v>
      </c>
      <c r="D4">
        <v>0</v>
      </c>
      <c r="E4">
        <v>1</v>
      </c>
      <c r="F4">
        <v>0</v>
      </c>
      <c r="G4">
        <v>0.05</v>
      </c>
      <c r="H4">
        <f>VLOOKUP(C4,WHO_region_parameters!$A$2:$C$7,2,FALSE)</f>
        <v>1.4999999999999999E-2</v>
      </c>
      <c r="I4">
        <f>VLOOKUP(C4,WHO_region_parameters!$A$2:$C$7,3,FALSE)</f>
        <v>1.2699999999999999E-2</v>
      </c>
      <c r="J4">
        <v>0.3</v>
      </c>
      <c r="K4">
        <v>0.6</v>
      </c>
      <c r="L4">
        <v>1994</v>
      </c>
      <c r="M4">
        <v>0.5</v>
      </c>
      <c r="N4">
        <v>0.30967</v>
      </c>
      <c r="O4">
        <f>VLOOKUP(C4,WHO_region_parameters!$A$2:$D$7,4,FALSE)*Dx_infacilitytesting_acceptability</f>
        <v>0.42042078352794848</v>
      </c>
    </row>
    <row r="5" spans="1:15" x14ac:dyDescent="0.35">
      <c r="A5" t="s">
        <v>86</v>
      </c>
      <c r="B5" t="s">
        <v>87</v>
      </c>
      <c r="C5" t="s">
        <v>85</v>
      </c>
      <c r="D5">
        <v>0</v>
      </c>
      <c r="E5">
        <v>1</v>
      </c>
      <c r="F5">
        <v>0</v>
      </c>
      <c r="G5">
        <v>0.05</v>
      </c>
      <c r="H5">
        <f>VLOOKUP(C5,WHO_region_parameters!$A$2:$C$7,2,FALSE)</f>
        <v>1.4999999999999999E-2</v>
      </c>
      <c r="I5">
        <f>VLOOKUP(C5,WHO_region_parameters!$A$2:$C$7,3,FALSE)</f>
        <v>1.2699999999999999E-2</v>
      </c>
      <c r="J5">
        <v>0.3</v>
      </c>
      <c r="K5">
        <v>0.6</v>
      </c>
      <c r="L5">
        <v>2000</v>
      </c>
      <c r="M5">
        <v>0.5</v>
      </c>
      <c r="N5">
        <v>0.22591999999999998</v>
      </c>
      <c r="O5">
        <f>VLOOKUP(C5,WHO_region_parameters!$A$2:$D$7,4,FALSE)*Dx_infacilitytesting_acceptability</f>
        <v>0.42042078352794848</v>
      </c>
    </row>
    <row r="6" spans="1:15" x14ac:dyDescent="0.35">
      <c r="A6" t="s">
        <v>88</v>
      </c>
      <c r="B6" t="s">
        <v>89</v>
      </c>
      <c r="C6" t="s">
        <v>85</v>
      </c>
      <c r="D6">
        <v>0</v>
      </c>
      <c r="E6">
        <v>1</v>
      </c>
      <c r="F6">
        <v>0</v>
      </c>
      <c r="G6">
        <v>0.05</v>
      </c>
      <c r="H6">
        <f>VLOOKUP(C6,WHO_region_parameters!$A$2:$C$7,2,FALSE)</f>
        <v>1.4999999999999999E-2</v>
      </c>
      <c r="I6">
        <f>VLOOKUP(C6,WHO_region_parameters!$A$2:$C$7,3,FALSE)</f>
        <v>1.2699999999999999E-2</v>
      </c>
      <c r="J6">
        <v>0.3</v>
      </c>
      <c r="K6">
        <v>0.6</v>
      </c>
      <c r="L6">
        <v>2002</v>
      </c>
      <c r="M6">
        <v>0.5</v>
      </c>
      <c r="N6">
        <v>0.20919000000000001</v>
      </c>
      <c r="O6">
        <f>VLOOKUP(C6,WHO_region_parameters!$A$2:$D$7,4,FALSE)*Dx_infacilitytesting_acceptability</f>
        <v>0.42042078352794848</v>
      </c>
    </row>
    <row r="7" spans="1:15" x14ac:dyDescent="0.35">
      <c r="A7" t="s">
        <v>90</v>
      </c>
      <c r="B7" t="s">
        <v>91</v>
      </c>
      <c r="C7" t="s">
        <v>82</v>
      </c>
      <c r="D7">
        <v>0</v>
      </c>
      <c r="E7">
        <v>1</v>
      </c>
      <c r="F7">
        <v>0</v>
      </c>
      <c r="G7">
        <v>0.05</v>
      </c>
      <c r="H7">
        <f>VLOOKUP(C7,WHO_region_parameters!$A$2:$C$7,2,FALSE)</f>
        <v>4.0000000000000001E-3</v>
      </c>
      <c r="I7">
        <f>VLOOKUP(C7,WHO_region_parameters!$A$2:$C$7,3,FALSE)</f>
        <v>0</v>
      </c>
      <c r="J7">
        <v>0.3</v>
      </c>
      <c r="K7">
        <v>0.6</v>
      </c>
      <c r="L7">
        <v>2004</v>
      </c>
      <c r="M7">
        <v>0.5</v>
      </c>
      <c r="N7">
        <v>0.10798999999999999</v>
      </c>
      <c r="O7">
        <f>VLOOKUP(C7,WHO_region_parameters!$A$2:$D$7,4,FALSE)*Dx_infacilitytesting_acceptability</f>
        <v>0.26594516366578902</v>
      </c>
    </row>
    <row r="8" spans="1:15" x14ac:dyDescent="0.35">
      <c r="A8" t="s">
        <v>92</v>
      </c>
      <c r="B8" t="s">
        <v>93</v>
      </c>
      <c r="C8" t="s">
        <v>82</v>
      </c>
      <c r="D8">
        <v>0</v>
      </c>
      <c r="E8">
        <v>1</v>
      </c>
      <c r="F8">
        <v>0</v>
      </c>
      <c r="G8">
        <v>0.05</v>
      </c>
      <c r="H8">
        <f>VLOOKUP(C8,WHO_region_parameters!$A$2:$C$7,2,FALSE)</f>
        <v>4.0000000000000001E-3</v>
      </c>
      <c r="I8">
        <f>VLOOKUP(C8,WHO_region_parameters!$A$2:$C$7,3,FALSE)</f>
        <v>0</v>
      </c>
      <c r="J8">
        <v>0.3</v>
      </c>
      <c r="K8">
        <v>0.6</v>
      </c>
      <c r="L8">
        <v>2002</v>
      </c>
      <c r="M8">
        <v>0.5</v>
      </c>
      <c r="N8">
        <v>0.2586</v>
      </c>
      <c r="O8">
        <f>VLOOKUP(C8,WHO_region_parameters!$A$2:$D$7,4,FALSE)*Dx_infacilitytesting_acceptability</f>
        <v>0.26594516366578902</v>
      </c>
    </row>
    <row r="9" spans="1:15" x14ac:dyDescent="0.35">
      <c r="A9" t="s">
        <v>94</v>
      </c>
      <c r="B9" t="s">
        <v>95</v>
      </c>
      <c r="C9" t="s">
        <v>82</v>
      </c>
      <c r="D9">
        <v>0</v>
      </c>
      <c r="E9">
        <v>1</v>
      </c>
      <c r="F9">
        <v>0</v>
      </c>
      <c r="G9">
        <v>0.05</v>
      </c>
      <c r="H9">
        <f>VLOOKUP(C9,WHO_region_parameters!$A$2:$C$7,2,FALSE)</f>
        <v>4.0000000000000001E-3</v>
      </c>
      <c r="I9">
        <f>VLOOKUP(C9,WHO_region_parameters!$A$2:$C$7,3,FALSE)</f>
        <v>0</v>
      </c>
      <c r="J9">
        <v>0.3</v>
      </c>
      <c r="K9">
        <v>0.6</v>
      </c>
      <c r="L9">
        <v>2006</v>
      </c>
      <c r="M9">
        <v>0.5</v>
      </c>
      <c r="N9">
        <v>0.48347999999999997</v>
      </c>
      <c r="O9">
        <f>VLOOKUP(C9,WHO_region_parameters!$A$2:$D$7,4,FALSE)*Dx_infacilitytesting_acceptability</f>
        <v>0.26594516366578902</v>
      </c>
    </row>
    <row r="10" spans="1:15" x14ac:dyDescent="0.35">
      <c r="A10" t="s">
        <v>96</v>
      </c>
      <c r="B10" t="s">
        <v>97</v>
      </c>
      <c r="C10" t="s">
        <v>98</v>
      </c>
      <c r="D10">
        <v>0</v>
      </c>
      <c r="E10">
        <v>1</v>
      </c>
      <c r="F10">
        <v>0</v>
      </c>
      <c r="G10">
        <v>0.05</v>
      </c>
      <c r="H10">
        <f>VLOOKUP(C10,WHO_region_parameters!$A$2:$C$7,2,FALSE)</f>
        <v>0.01</v>
      </c>
      <c r="I10">
        <f>VLOOKUP(C10,WHO_region_parameters!$A$2:$C$7,3,FALSE)</f>
        <v>0</v>
      </c>
      <c r="J10">
        <v>0.3</v>
      </c>
      <c r="K10">
        <v>0.6</v>
      </c>
      <c r="L10">
        <v>2003</v>
      </c>
      <c r="M10">
        <v>0.5</v>
      </c>
      <c r="N10">
        <v>1.9879999999999998E-2</v>
      </c>
      <c r="O10">
        <f>VLOOKUP(C10,WHO_region_parameters!$A$2:$D$7,4,FALSE)*Dx_infacilitytesting_acceptability</f>
        <v>0.35465693889566102</v>
      </c>
    </row>
    <row r="11" spans="1:15" x14ac:dyDescent="0.35">
      <c r="A11" t="s">
        <v>99</v>
      </c>
      <c r="B11" t="s">
        <v>100</v>
      </c>
      <c r="C11" t="s">
        <v>85</v>
      </c>
      <c r="D11">
        <v>0</v>
      </c>
      <c r="E11">
        <v>1</v>
      </c>
      <c r="F11">
        <v>0</v>
      </c>
      <c r="G11">
        <v>0.43</v>
      </c>
      <c r="H11">
        <f>VLOOKUP(C11,WHO_region_parameters!$A$2:$C$7,2,FALSE)</f>
        <v>1.4999999999999999E-2</v>
      </c>
      <c r="I11">
        <f>VLOOKUP(C11,WHO_region_parameters!$A$2:$C$7,3,FALSE)</f>
        <v>1.2699999999999999E-2</v>
      </c>
      <c r="J11">
        <v>0.3</v>
      </c>
      <c r="K11">
        <v>0.6</v>
      </c>
      <c r="L11">
        <v>1999</v>
      </c>
      <c r="M11">
        <v>0.5</v>
      </c>
      <c r="N11">
        <v>0.48316000000000003</v>
      </c>
      <c r="O11">
        <f>VLOOKUP(C11,WHO_region_parameters!$A$2:$D$7,4,FALSE)*Dx_infacilitytesting_acceptability</f>
        <v>0.42042078352794848</v>
      </c>
    </row>
    <row r="12" spans="1:15" x14ac:dyDescent="0.35">
      <c r="A12" t="s">
        <v>101</v>
      </c>
      <c r="B12" t="s">
        <v>102</v>
      </c>
      <c r="C12" t="s">
        <v>85</v>
      </c>
      <c r="D12">
        <v>0</v>
      </c>
      <c r="E12">
        <v>1</v>
      </c>
      <c r="F12">
        <v>0</v>
      </c>
      <c r="G12">
        <v>0.99</v>
      </c>
      <c r="H12">
        <f>VLOOKUP(C12,WHO_region_parameters!$A$2:$C$7,2,FALSE)</f>
        <v>1.4999999999999999E-2</v>
      </c>
      <c r="I12">
        <f>VLOOKUP(C12,WHO_region_parameters!$A$2:$C$7,3,FALSE)</f>
        <v>1.2699999999999999E-2</v>
      </c>
      <c r="J12">
        <v>0.3</v>
      </c>
      <c r="K12">
        <v>0.6</v>
      </c>
      <c r="L12">
        <v>2000</v>
      </c>
      <c r="M12">
        <v>0.5</v>
      </c>
      <c r="N12">
        <v>0.24876000000000001</v>
      </c>
      <c r="O12">
        <f>VLOOKUP(C12,WHO_region_parameters!$A$2:$D$7,4,FALSE)*Dx_infacilitytesting_acceptability</f>
        <v>0.42042078352794848</v>
      </c>
    </row>
    <row r="13" spans="1:15" x14ac:dyDescent="0.35">
      <c r="A13" t="s">
        <v>103</v>
      </c>
      <c r="B13" t="s">
        <v>104</v>
      </c>
      <c r="C13" t="s">
        <v>105</v>
      </c>
      <c r="D13">
        <v>0</v>
      </c>
      <c r="E13">
        <v>1</v>
      </c>
      <c r="F13">
        <v>0</v>
      </c>
      <c r="G13">
        <v>0.05</v>
      </c>
      <c r="H13">
        <f>VLOOKUP(C13,WHO_region_parameters!$A$2:$C$7,2,FALSE)</f>
        <v>7.0000000000000001E-3</v>
      </c>
      <c r="I13">
        <f>VLOOKUP(C13,WHO_region_parameters!$A$2:$C$7,3,FALSE)</f>
        <v>3.0999999999999999E-3</v>
      </c>
      <c r="J13">
        <v>0.3</v>
      </c>
      <c r="K13">
        <v>0.6</v>
      </c>
      <c r="L13">
        <v>2000</v>
      </c>
      <c r="M13">
        <v>0.5</v>
      </c>
      <c r="N13">
        <v>0.41054000000000002</v>
      </c>
      <c r="O13">
        <f>VLOOKUP(C13,WHO_region_parameters!$A$2:$D$7,4,FALSE)*Dx_infacilitytesting_acceptability</f>
        <v>0.426962734427077</v>
      </c>
    </row>
    <row r="14" spans="1:15" x14ac:dyDescent="0.35">
      <c r="A14" t="s">
        <v>106</v>
      </c>
      <c r="B14" t="s">
        <v>107</v>
      </c>
      <c r="C14" t="s">
        <v>105</v>
      </c>
      <c r="D14">
        <v>0</v>
      </c>
      <c r="E14" s="8">
        <v>0</v>
      </c>
      <c r="F14">
        <v>0</v>
      </c>
      <c r="G14">
        <v>0.05</v>
      </c>
      <c r="H14">
        <f>VLOOKUP(C14,WHO_region_parameters!$A$2:$C$7,2,FALSE)</f>
        <v>7.0000000000000001E-3</v>
      </c>
      <c r="I14">
        <f>VLOOKUP(C14,WHO_region_parameters!$A$2:$C$7,3,FALSE)</f>
        <v>3.0999999999999999E-3</v>
      </c>
      <c r="J14">
        <v>0.3</v>
      </c>
      <c r="K14">
        <v>0.6</v>
      </c>
      <c r="L14">
        <v>2000</v>
      </c>
      <c r="M14">
        <v>0.5</v>
      </c>
      <c r="N14">
        <v>0.27587</v>
      </c>
      <c r="O14">
        <f>VLOOKUP(C14,WHO_region_parameters!$A$2:$D$7,4,FALSE)*Dx_infacilitytesting_acceptability</f>
        <v>0.426962734427077</v>
      </c>
    </row>
    <row r="15" spans="1:15" x14ac:dyDescent="0.35">
      <c r="A15" t="s">
        <v>108</v>
      </c>
      <c r="B15" t="s">
        <v>109</v>
      </c>
      <c r="C15" t="s">
        <v>98</v>
      </c>
      <c r="D15">
        <v>0</v>
      </c>
      <c r="E15">
        <v>1</v>
      </c>
      <c r="F15">
        <v>0</v>
      </c>
      <c r="G15">
        <v>0.05</v>
      </c>
      <c r="H15">
        <f>VLOOKUP(C15,WHO_region_parameters!$A$2:$C$7,2,FALSE)</f>
        <v>0.01</v>
      </c>
      <c r="I15">
        <f>VLOOKUP(C15,WHO_region_parameters!$A$2:$C$7,3,FALSE)</f>
        <v>0</v>
      </c>
      <c r="J15">
        <v>0.3</v>
      </c>
      <c r="K15">
        <v>0.6</v>
      </c>
      <c r="L15">
        <v>1996</v>
      </c>
      <c r="M15">
        <v>0.5</v>
      </c>
      <c r="N15">
        <v>0.67525999999999997</v>
      </c>
      <c r="O15">
        <f>VLOOKUP(C15,WHO_region_parameters!$A$2:$D$7,4,FALSE)*Dx_infacilitytesting_acceptability</f>
        <v>0.35465693889566102</v>
      </c>
    </row>
    <row r="16" spans="1:15" x14ac:dyDescent="0.35">
      <c r="A16" t="s">
        <v>110</v>
      </c>
      <c r="B16" t="s">
        <v>111</v>
      </c>
      <c r="C16" t="s">
        <v>82</v>
      </c>
      <c r="D16">
        <v>0</v>
      </c>
      <c r="E16">
        <v>1</v>
      </c>
      <c r="F16">
        <v>0</v>
      </c>
      <c r="G16">
        <v>0.05</v>
      </c>
      <c r="H16">
        <f>VLOOKUP(C16,WHO_region_parameters!$A$2:$C$7,2,FALSE)</f>
        <v>4.0000000000000001E-3</v>
      </c>
      <c r="I16">
        <f>VLOOKUP(C16,WHO_region_parameters!$A$2:$C$7,3,FALSE)</f>
        <v>0</v>
      </c>
      <c r="J16">
        <v>0.3</v>
      </c>
      <c r="K16">
        <v>0.6</v>
      </c>
      <c r="L16">
        <v>2009</v>
      </c>
      <c r="M16">
        <v>0.5</v>
      </c>
      <c r="N16">
        <v>0.44543999999999995</v>
      </c>
      <c r="O16">
        <f>VLOOKUP(C16,WHO_region_parameters!$A$2:$D$7,4,FALSE)*Dx_infacilitytesting_acceptability</f>
        <v>0.26594516366578902</v>
      </c>
    </row>
    <row r="17" spans="1:15" x14ac:dyDescent="0.35">
      <c r="A17" t="s">
        <v>112</v>
      </c>
      <c r="B17" t="s">
        <v>113</v>
      </c>
      <c r="C17" t="s">
        <v>114</v>
      </c>
      <c r="D17">
        <v>0</v>
      </c>
      <c r="E17">
        <v>1</v>
      </c>
      <c r="F17">
        <v>0</v>
      </c>
      <c r="G17">
        <v>0.26</v>
      </c>
      <c r="H17">
        <f>VLOOKUP(C17,WHO_region_parameters!$A$2:$C$7,2,FALSE)</f>
        <v>1.6E-2</v>
      </c>
      <c r="I17">
        <f>VLOOKUP(C17,WHO_region_parameters!$A$2:$C$7,3,FALSE)</f>
        <v>3.8E-3</v>
      </c>
      <c r="J17">
        <v>0.3</v>
      </c>
      <c r="K17">
        <v>0.6</v>
      </c>
      <c r="L17">
        <v>2000</v>
      </c>
      <c r="M17">
        <v>0.5</v>
      </c>
      <c r="N17">
        <v>0.1628</v>
      </c>
      <c r="O17">
        <f>VLOOKUP(C17,WHO_region_parameters!$A$2:$D$7,4,FALSE)*Dx_infacilitytesting_acceptability</f>
        <v>0.28018755337085549</v>
      </c>
    </row>
    <row r="18" spans="1:15" x14ac:dyDescent="0.35">
      <c r="A18" t="s">
        <v>115</v>
      </c>
      <c r="B18" t="s">
        <v>116</v>
      </c>
      <c r="C18" t="s">
        <v>82</v>
      </c>
      <c r="D18">
        <v>0</v>
      </c>
      <c r="E18">
        <v>1</v>
      </c>
      <c r="F18">
        <v>0</v>
      </c>
      <c r="G18">
        <v>0.05</v>
      </c>
      <c r="H18">
        <f>VLOOKUP(C18,WHO_region_parameters!$A$2:$C$7,2,FALSE)</f>
        <v>4.0000000000000001E-3</v>
      </c>
      <c r="I18">
        <f>VLOOKUP(C18,WHO_region_parameters!$A$2:$C$7,3,FALSE)</f>
        <v>0</v>
      </c>
      <c r="J18">
        <v>0.3</v>
      </c>
      <c r="K18">
        <v>0.6</v>
      </c>
      <c r="L18">
        <v>2001</v>
      </c>
      <c r="M18">
        <v>0.5</v>
      </c>
      <c r="N18">
        <v>0.31069999999999998</v>
      </c>
      <c r="O18">
        <f>VLOOKUP(C18,WHO_region_parameters!$A$2:$D$7,4,FALSE)*Dx_infacilitytesting_acceptability</f>
        <v>0.26594516366578902</v>
      </c>
    </row>
    <row r="19" spans="1:15" x14ac:dyDescent="0.35">
      <c r="A19" t="s">
        <v>117</v>
      </c>
      <c r="B19" t="s">
        <v>118</v>
      </c>
      <c r="C19" t="s">
        <v>82</v>
      </c>
      <c r="D19">
        <v>0</v>
      </c>
      <c r="E19">
        <v>1</v>
      </c>
      <c r="F19">
        <v>0</v>
      </c>
      <c r="G19">
        <v>0.05</v>
      </c>
      <c r="H19">
        <f>VLOOKUP(C19,WHO_region_parameters!$A$2:$C$7,2,FALSE)</f>
        <v>4.0000000000000001E-3</v>
      </c>
      <c r="I19">
        <f>VLOOKUP(C19,WHO_region_parameters!$A$2:$C$7,3,FALSE)</f>
        <v>0</v>
      </c>
      <c r="J19">
        <v>0.3</v>
      </c>
      <c r="K19">
        <v>0.6</v>
      </c>
      <c r="L19">
        <v>2005</v>
      </c>
      <c r="M19">
        <v>0.5</v>
      </c>
      <c r="N19">
        <v>0.24193000000000001</v>
      </c>
      <c r="O19">
        <f>VLOOKUP(C19,WHO_region_parameters!$A$2:$D$7,4,FALSE)*Dx_infacilitytesting_acceptability</f>
        <v>0.26594516366578902</v>
      </c>
    </row>
    <row r="20" spans="1:15" x14ac:dyDescent="0.35">
      <c r="A20" t="s">
        <v>119</v>
      </c>
      <c r="B20" t="s">
        <v>120</v>
      </c>
      <c r="C20" t="s">
        <v>82</v>
      </c>
      <c r="D20">
        <v>0</v>
      </c>
      <c r="E20">
        <v>1</v>
      </c>
      <c r="F20">
        <v>0</v>
      </c>
      <c r="G20">
        <v>0.05</v>
      </c>
      <c r="H20">
        <f>VLOOKUP(C20,WHO_region_parameters!$A$2:$C$7,2,FALSE)</f>
        <v>4.0000000000000001E-3</v>
      </c>
      <c r="I20">
        <f>VLOOKUP(C20,WHO_region_parameters!$A$2:$C$7,3,FALSE)</f>
        <v>0</v>
      </c>
      <c r="J20">
        <v>0.3</v>
      </c>
      <c r="K20">
        <v>0.6</v>
      </c>
      <c r="L20">
        <v>2007</v>
      </c>
      <c r="M20">
        <v>0.5</v>
      </c>
      <c r="N20">
        <v>0.26267000000000001</v>
      </c>
      <c r="O20">
        <f>VLOOKUP(C20,WHO_region_parameters!$A$2:$D$7,4,FALSE)*Dx_infacilitytesting_acceptability</f>
        <v>0.26594516366578902</v>
      </c>
    </row>
    <row r="21" spans="1:15" x14ac:dyDescent="0.35">
      <c r="A21" t="s">
        <v>121</v>
      </c>
      <c r="B21" t="s">
        <v>122</v>
      </c>
      <c r="C21" t="s">
        <v>82</v>
      </c>
      <c r="D21">
        <v>0</v>
      </c>
      <c r="E21">
        <v>1</v>
      </c>
      <c r="F21">
        <v>0</v>
      </c>
      <c r="G21">
        <v>0.05</v>
      </c>
      <c r="H21">
        <f>VLOOKUP(C21,WHO_region_parameters!$A$2:$C$7,2,FALSE)</f>
        <v>4.0000000000000001E-3</v>
      </c>
      <c r="I21">
        <f>VLOOKUP(C21,WHO_region_parameters!$A$2:$C$7,3,FALSE)</f>
        <v>0</v>
      </c>
      <c r="J21">
        <v>0.3</v>
      </c>
      <c r="K21">
        <v>0.6</v>
      </c>
      <c r="L21">
        <v>2007</v>
      </c>
      <c r="M21">
        <v>0.5</v>
      </c>
      <c r="N21">
        <v>8.1110000000000002E-2</v>
      </c>
      <c r="O21">
        <f>VLOOKUP(C21,WHO_region_parameters!$A$2:$D$7,4,FALSE)*Dx_infacilitytesting_acceptability</f>
        <v>0.26594516366578902</v>
      </c>
    </row>
    <row r="22" spans="1:15" x14ac:dyDescent="0.35">
      <c r="A22" t="s">
        <v>123</v>
      </c>
      <c r="B22" t="s">
        <v>124</v>
      </c>
      <c r="C22" t="s">
        <v>105</v>
      </c>
      <c r="D22">
        <v>0</v>
      </c>
      <c r="E22">
        <v>1</v>
      </c>
      <c r="F22">
        <v>0</v>
      </c>
      <c r="G22">
        <v>0.05</v>
      </c>
      <c r="H22">
        <f>VLOOKUP(C22,WHO_region_parameters!$A$2:$C$7,2,FALSE)</f>
        <v>7.0000000000000001E-3</v>
      </c>
      <c r="I22">
        <f>VLOOKUP(C22,WHO_region_parameters!$A$2:$C$7,3,FALSE)</f>
        <v>3.0999999999999999E-3</v>
      </c>
      <c r="J22">
        <v>0.3</v>
      </c>
      <c r="K22">
        <v>0.6</v>
      </c>
      <c r="L22">
        <v>1995</v>
      </c>
      <c r="M22">
        <v>0.5</v>
      </c>
      <c r="N22">
        <v>0.17756</v>
      </c>
      <c r="O22">
        <f>VLOOKUP(C22,WHO_region_parameters!$A$2:$D$7,4,FALSE)*Dx_infacilitytesting_acceptability</f>
        <v>0.426962734427077</v>
      </c>
    </row>
    <row r="23" spans="1:15" x14ac:dyDescent="0.35">
      <c r="A23" t="s">
        <v>125</v>
      </c>
      <c r="B23" t="s">
        <v>126</v>
      </c>
      <c r="C23" t="s">
        <v>82</v>
      </c>
      <c r="D23">
        <v>0</v>
      </c>
      <c r="E23">
        <v>1</v>
      </c>
      <c r="F23">
        <v>0</v>
      </c>
      <c r="G23">
        <v>0.05</v>
      </c>
      <c r="H23">
        <f>VLOOKUP(C23,WHO_region_parameters!$A$2:$C$7,2,FALSE)</f>
        <v>4.0000000000000001E-3</v>
      </c>
      <c r="I23">
        <f>VLOOKUP(C23,WHO_region_parameters!$A$2:$C$7,3,FALSE)</f>
        <v>0</v>
      </c>
      <c r="J23">
        <v>0.3</v>
      </c>
      <c r="K23">
        <v>0.6</v>
      </c>
      <c r="L23">
        <v>2003</v>
      </c>
      <c r="M23">
        <v>0.5</v>
      </c>
      <c r="N23">
        <v>0.12445000000000001</v>
      </c>
      <c r="O23">
        <f>VLOOKUP(C23,WHO_region_parameters!$A$2:$D$7,4,FALSE)*Dx_infacilitytesting_acceptability</f>
        <v>0.26594516366578902</v>
      </c>
    </row>
    <row r="24" spans="1:15" x14ac:dyDescent="0.35">
      <c r="A24" t="s">
        <v>127</v>
      </c>
      <c r="B24" t="s">
        <v>128</v>
      </c>
      <c r="C24" t="s">
        <v>82</v>
      </c>
      <c r="D24">
        <v>0</v>
      </c>
      <c r="E24">
        <v>1</v>
      </c>
      <c r="F24">
        <v>0</v>
      </c>
      <c r="G24">
        <v>0.05</v>
      </c>
      <c r="H24">
        <f>VLOOKUP(C24,WHO_region_parameters!$A$2:$C$7,2,FALSE)</f>
        <v>4.0000000000000001E-3</v>
      </c>
      <c r="I24">
        <f>VLOOKUP(C24,WHO_region_parameters!$A$2:$C$7,3,FALSE)</f>
        <v>0</v>
      </c>
      <c r="J24">
        <v>0.3</v>
      </c>
      <c r="K24">
        <v>0.6</v>
      </c>
      <c r="L24">
        <v>2002</v>
      </c>
      <c r="M24">
        <v>0.5</v>
      </c>
      <c r="N24">
        <v>0.27032</v>
      </c>
      <c r="O24">
        <f>VLOOKUP(C24,WHO_region_parameters!$A$2:$D$7,4,FALSE)*Dx_infacilitytesting_acceptability</f>
        <v>0.26594516366578902</v>
      </c>
    </row>
    <row r="25" spans="1:15" x14ac:dyDescent="0.35">
      <c r="A25" t="s">
        <v>129</v>
      </c>
      <c r="B25" t="s">
        <v>130</v>
      </c>
      <c r="C25" t="s">
        <v>105</v>
      </c>
      <c r="D25">
        <v>0</v>
      </c>
      <c r="E25">
        <v>1</v>
      </c>
      <c r="F25">
        <v>0</v>
      </c>
      <c r="G25">
        <v>1</v>
      </c>
      <c r="H25">
        <f>VLOOKUP(C25,WHO_region_parameters!$A$2:$C$7,2,FALSE)</f>
        <v>7.0000000000000001E-3</v>
      </c>
      <c r="I25">
        <f>VLOOKUP(C25,WHO_region_parameters!$A$2:$C$7,3,FALSE)</f>
        <v>3.0999999999999999E-3</v>
      </c>
      <c r="J25">
        <v>0.3</v>
      </c>
      <c r="K25">
        <v>0.6</v>
      </c>
      <c r="L25">
        <v>1993</v>
      </c>
      <c r="M25">
        <v>0.5</v>
      </c>
      <c r="N25">
        <v>0.17492999999999997</v>
      </c>
      <c r="O25">
        <f>VLOOKUP(C25,WHO_region_parameters!$A$2:$D$7,4,FALSE)*Dx_infacilitytesting_acceptability</f>
        <v>0.426962734427077</v>
      </c>
    </row>
    <row r="26" spans="1:15" x14ac:dyDescent="0.35">
      <c r="A26" t="s">
        <v>131</v>
      </c>
      <c r="B26" t="s">
        <v>132</v>
      </c>
      <c r="C26" t="s">
        <v>79</v>
      </c>
      <c r="D26">
        <v>0</v>
      </c>
      <c r="E26">
        <v>1</v>
      </c>
      <c r="F26">
        <v>0</v>
      </c>
      <c r="G26">
        <v>0.05</v>
      </c>
      <c r="H26">
        <f>VLOOKUP(C26,WHO_region_parameters!$A$2:$C$7,2,FALSE)</f>
        <v>4.0000000000000001E-3</v>
      </c>
      <c r="I26">
        <f>VLOOKUP(C26,WHO_region_parameters!$A$2:$C$7,3,FALSE)</f>
        <v>1.2500000000000001E-2</v>
      </c>
      <c r="J26">
        <v>0.3</v>
      </c>
      <c r="K26">
        <v>0.6</v>
      </c>
      <c r="L26">
        <v>2007</v>
      </c>
      <c r="M26">
        <v>0.5</v>
      </c>
      <c r="N26">
        <v>0.10621999999999999</v>
      </c>
      <c r="O26">
        <f>VLOOKUP(C26,WHO_region_parameters!$A$2:$D$7,4,FALSE)*Dx_infacilitytesting_acceptability</f>
        <v>0.34718290865108348</v>
      </c>
    </row>
    <row r="27" spans="1:15" x14ac:dyDescent="0.35">
      <c r="A27" t="s">
        <v>133</v>
      </c>
      <c r="B27" t="s">
        <v>134</v>
      </c>
      <c r="C27" t="s">
        <v>82</v>
      </c>
      <c r="D27">
        <v>0</v>
      </c>
      <c r="E27">
        <v>1</v>
      </c>
      <c r="F27">
        <v>0</v>
      </c>
      <c r="G27">
        <v>0.05</v>
      </c>
      <c r="H27">
        <f>VLOOKUP(C27,WHO_region_parameters!$A$2:$C$7,2,FALSE)</f>
        <v>4.0000000000000001E-3</v>
      </c>
      <c r="I27">
        <f>VLOOKUP(C27,WHO_region_parameters!$A$2:$C$7,3,FALSE)</f>
        <v>0</v>
      </c>
      <c r="J27">
        <v>0.3</v>
      </c>
      <c r="K27">
        <v>0.6</v>
      </c>
      <c r="L27">
        <v>2004</v>
      </c>
      <c r="M27">
        <v>0.5</v>
      </c>
      <c r="N27">
        <v>0.19</v>
      </c>
      <c r="O27">
        <f>VLOOKUP(C27,WHO_region_parameters!$A$2:$D$7,4,FALSE)*Dx_infacilitytesting_acceptability</f>
        <v>0.26594516366578902</v>
      </c>
    </row>
    <row r="28" spans="1:15" x14ac:dyDescent="0.35">
      <c r="A28" t="s">
        <v>135</v>
      </c>
      <c r="B28" t="s">
        <v>136</v>
      </c>
      <c r="C28" t="s">
        <v>105</v>
      </c>
      <c r="D28">
        <v>0</v>
      </c>
      <c r="E28">
        <v>1</v>
      </c>
      <c r="F28">
        <v>0</v>
      </c>
      <c r="G28">
        <v>0.1</v>
      </c>
      <c r="H28">
        <f>VLOOKUP(C28,WHO_region_parameters!$A$2:$C$7,2,FALSE)</f>
        <v>7.0000000000000001E-3</v>
      </c>
      <c r="I28">
        <f>VLOOKUP(C28,WHO_region_parameters!$A$2:$C$7,3,FALSE)</f>
        <v>3.0999999999999999E-3</v>
      </c>
      <c r="J28">
        <v>0.3</v>
      </c>
      <c r="K28">
        <v>0.6</v>
      </c>
      <c r="L28">
        <v>2000</v>
      </c>
      <c r="M28">
        <v>0.5</v>
      </c>
      <c r="N28">
        <v>0.21509</v>
      </c>
      <c r="O28">
        <f>VLOOKUP(C28,WHO_region_parameters!$A$2:$D$7,4,FALSE)*Dx_infacilitytesting_acceptability</f>
        <v>0.426962734427077</v>
      </c>
    </row>
    <row r="29" spans="1:15" x14ac:dyDescent="0.35">
      <c r="A29" t="s">
        <v>137</v>
      </c>
      <c r="B29" t="s">
        <v>138</v>
      </c>
      <c r="C29" t="s">
        <v>79</v>
      </c>
      <c r="D29">
        <v>0</v>
      </c>
      <c r="E29">
        <v>1</v>
      </c>
      <c r="F29">
        <v>0</v>
      </c>
      <c r="G29">
        <v>0.45</v>
      </c>
      <c r="H29">
        <f>VLOOKUP(C29,WHO_region_parameters!$A$2:$C$7,2,FALSE)</f>
        <v>4.0000000000000001E-3</v>
      </c>
      <c r="I29">
        <f>VLOOKUP(C29,WHO_region_parameters!$A$2:$C$7,3,FALSE)</f>
        <v>1.2500000000000001E-2</v>
      </c>
      <c r="J29">
        <v>0.3</v>
      </c>
      <c r="K29">
        <v>0.6</v>
      </c>
      <c r="L29">
        <v>1992</v>
      </c>
      <c r="M29">
        <v>0.5</v>
      </c>
      <c r="N29">
        <v>2.5399999999999999E-2</v>
      </c>
      <c r="O29">
        <f>VLOOKUP(C29,WHO_region_parameters!$A$2:$D$7,4,FALSE)*Dx_infacilitytesting_acceptability</f>
        <v>0.34718290865108348</v>
      </c>
    </row>
    <row r="30" spans="1:15" x14ac:dyDescent="0.35">
      <c r="A30" t="s">
        <v>139</v>
      </c>
      <c r="B30" t="s">
        <v>140</v>
      </c>
      <c r="C30" t="s">
        <v>82</v>
      </c>
      <c r="D30">
        <v>0</v>
      </c>
      <c r="E30">
        <v>1</v>
      </c>
      <c r="F30">
        <v>0</v>
      </c>
      <c r="G30">
        <v>0.05</v>
      </c>
      <c r="H30">
        <f>VLOOKUP(C30,WHO_region_parameters!$A$2:$C$7,2,FALSE)</f>
        <v>4.0000000000000001E-3</v>
      </c>
      <c r="I30">
        <f>VLOOKUP(C30,WHO_region_parameters!$A$2:$C$7,3,FALSE)</f>
        <v>0</v>
      </c>
      <c r="J30">
        <v>0.3</v>
      </c>
      <c r="K30">
        <v>0.6</v>
      </c>
      <c r="L30">
        <v>2002</v>
      </c>
      <c r="M30">
        <v>0.5</v>
      </c>
      <c r="N30">
        <v>0.35938000000000003</v>
      </c>
      <c r="O30">
        <f>VLOOKUP(C30,WHO_region_parameters!$A$2:$D$7,4,FALSE)*Dx_infacilitytesting_acceptability</f>
        <v>0.26594516366578902</v>
      </c>
    </row>
    <row r="31" spans="1:15" x14ac:dyDescent="0.35">
      <c r="A31" t="s">
        <v>141</v>
      </c>
      <c r="B31" t="s">
        <v>142</v>
      </c>
      <c r="C31" t="s">
        <v>82</v>
      </c>
      <c r="D31">
        <v>0</v>
      </c>
      <c r="E31">
        <v>1</v>
      </c>
      <c r="F31">
        <v>0</v>
      </c>
      <c r="G31">
        <v>0.05</v>
      </c>
      <c r="H31">
        <f>VLOOKUP(C31,WHO_region_parameters!$A$2:$C$7,2,FALSE)</f>
        <v>4.0000000000000001E-3</v>
      </c>
      <c r="I31">
        <f>VLOOKUP(C31,WHO_region_parameters!$A$2:$C$7,3,FALSE)</f>
        <v>0</v>
      </c>
      <c r="J31">
        <v>0.3</v>
      </c>
      <c r="K31">
        <v>0.6</v>
      </c>
      <c r="L31">
        <v>2007</v>
      </c>
      <c r="M31">
        <v>0.5</v>
      </c>
      <c r="N31">
        <v>0.33204999999999996</v>
      </c>
      <c r="O31">
        <f>VLOOKUP(C31,WHO_region_parameters!$A$2:$D$7,4,FALSE)*Dx_infacilitytesting_acceptability</f>
        <v>0.26594516366578902</v>
      </c>
    </row>
    <row r="32" spans="1:15" x14ac:dyDescent="0.35">
      <c r="A32" t="s">
        <v>143</v>
      </c>
      <c r="B32" t="s">
        <v>144</v>
      </c>
      <c r="C32" t="s">
        <v>114</v>
      </c>
      <c r="D32">
        <v>0</v>
      </c>
      <c r="E32">
        <v>1</v>
      </c>
      <c r="F32">
        <v>0</v>
      </c>
      <c r="G32">
        <v>0.05</v>
      </c>
      <c r="H32">
        <f>VLOOKUP(C32,WHO_region_parameters!$A$2:$C$7,2,FALSE)</f>
        <v>1.6E-2</v>
      </c>
      <c r="I32">
        <f>VLOOKUP(C32,WHO_region_parameters!$A$2:$C$7,3,FALSE)</f>
        <v>3.8E-3</v>
      </c>
      <c r="J32">
        <v>0.3</v>
      </c>
      <c r="K32">
        <v>0.6</v>
      </c>
      <c r="L32">
        <v>1993</v>
      </c>
      <c r="M32">
        <v>0.5</v>
      </c>
      <c r="N32">
        <v>0.44435999999999998</v>
      </c>
      <c r="O32">
        <f>VLOOKUP(C32,WHO_region_parameters!$A$2:$D$7,4,FALSE)*Dx_infacilitytesting_acceptability</f>
        <v>0.28018755337085549</v>
      </c>
    </row>
    <row r="33" spans="1:15" x14ac:dyDescent="0.35">
      <c r="A33" t="s">
        <v>145</v>
      </c>
      <c r="B33" t="s">
        <v>146</v>
      </c>
      <c r="C33" t="s">
        <v>114</v>
      </c>
      <c r="D33">
        <v>0</v>
      </c>
      <c r="E33">
        <v>1</v>
      </c>
      <c r="F33">
        <v>0</v>
      </c>
      <c r="G33">
        <v>0.5</v>
      </c>
      <c r="H33">
        <f>VLOOKUP(C33,WHO_region_parameters!$A$2:$C$7,2,FALSE)</f>
        <v>1.6E-2</v>
      </c>
      <c r="I33">
        <f>VLOOKUP(C33,WHO_region_parameters!$A$2:$C$7,3,FALSE)</f>
        <v>3.8E-3</v>
      </c>
      <c r="J33">
        <v>0.3</v>
      </c>
      <c r="K33">
        <v>0.6</v>
      </c>
      <c r="L33">
        <v>1989</v>
      </c>
      <c r="M33">
        <v>0.5</v>
      </c>
      <c r="N33">
        <v>0.69155</v>
      </c>
      <c r="O33">
        <f>VLOOKUP(C33,WHO_region_parameters!$A$2:$D$7,4,FALSE)*Dx_infacilitytesting_acceptability</f>
        <v>0.28018755337085549</v>
      </c>
    </row>
    <row r="34" spans="1:15" x14ac:dyDescent="0.35">
      <c r="A34" t="s">
        <v>147</v>
      </c>
      <c r="B34" t="s">
        <v>148</v>
      </c>
      <c r="C34" t="s">
        <v>85</v>
      </c>
      <c r="D34">
        <v>0</v>
      </c>
      <c r="E34">
        <v>1</v>
      </c>
      <c r="F34">
        <v>0</v>
      </c>
      <c r="G34">
        <v>0.05</v>
      </c>
      <c r="H34">
        <f>VLOOKUP(C34,WHO_region_parameters!$A$2:$C$7,2,FALSE)</f>
        <v>1.4999999999999999E-2</v>
      </c>
      <c r="I34">
        <f>VLOOKUP(C34,WHO_region_parameters!$A$2:$C$7,3,FALSE)</f>
        <v>1.2699999999999999E-2</v>
      </c>
      <c r="J34">
        <v>0.3</v>
      </c>
      <c r="K34">
        <v>0.6</v>
      </c>
      <c r="L34">
        <v>2000</v>
      </c>
      <c r="M34">
        <v>0.5</v>
      </c>
      <c r="N34">
        <v>0.35180999999999996</v>
      </c>
      <c r="O34">
        <f>VLOOKUP(C34,WHO_region_parameters!$A$2:$D$7,4,FALSE)*Dx_infacilitytesting_acceptability</f>
        <v>0.42042078352794848</v>
      </c>
    </row>
    <row r="35" spans="1:15" x14ac:dyDescent="0.35">
      <c r="A35" t="s">
        <v>149</v>
      </c>
      <c r="B35" t="s">
        <v>150</v>
      </c>
      <c r="C35" t="s">
        <v>82</v>
      </c>
      <c r="D35">
        <v>0</v>
      </c>
      <c r="E35">
        <v>1</v>
      </c>
      <c r="F35">
        <v>0</v>
      </c>
      <c r="G35">
        <v>0.05</v>
      </c>
      <c r="H35">
        <f>VLOOKUP(C35,WHO_region_parameters!$A$2:$C$7,2,FALSE)</f>
        <v>4.0000000000000001E-3</v>
      </c>
      <c r="I35">
        <f>VLOOKUP(C35,WHO_region_parameters!$A$2:$C$7,3,FALSE)</f>
        <v>0</v>
      </c>
      <c r="J35">
        <v>0.3</v>
      </c>
      <c r="K35">
        <v>0.6</v>
      </c>
      <c r="L35">
        <v>2002</v>
      </c>
      <c r="M35">
        <v>0.5</v>
      </c>
      <c r="N35">
        <v>0.22187000000000001</v>
      </c>
      <c r="O35">
        <f>VLOOKUP(C35,WHO_region_parameters!$A$2:$D$7,4,FALSE)*Dx_infacilitytesting_acceptability</f>
        <v>0.26594516366578902</v>
      </c>
    </row>
    <row r="36" spans="1:15" x14ac:dyDescent="0.35">
      <c r="A36" t="s">
        <v>151</v>
      </c>
      <c r="B36" t="s">
        <v>152</v>
      </c>
      <c r="C36" t="s">
        <v>82</v>
      </c>
      <c r="D36">
        <v>0</v>
      </c>
      <c r="E36">
        <v>1</v>
      </c>
      <c r="F36">
        <v>0</v>
      </c>
      <c r="G36">
        <v>0.05</v>
      </c>
      <c r="H36">
        <f>VLOOKUP(C36,WHO_region_parameters!$A$2:$C$7,2,FALSE)</f>
        <v>4.0000000000000001E-3</v>
      </c>
      <c r="I36">
        <f>VLOOKUP(C36,WHO_region_parameters!$A$2:$C$7,3,FALSE)</f>
        <v>0</v>
      </c>
      <c r="J36">
        <v>0.3</v>
      </c>
      <c r="K36">
        <v>0.6</v>
      </c>
      <c r="L36">
        <v>2007</v>
      </c>
      <c r="M36">
        <v>0.5</v>
      </c>
      <c r="N36">
        <v>0.44503999999999999</v>
      </c>
      <c r="O36">
        <f>VLOOKUP(C36,WHO_region_parameters!$A$2:$D$7,4,FALSE)*Dx_infacilitytesting_acceptability</f>
        <v>0.26594516366578902</v>
      </c>
    </row>
    <row r="37" spans="1:15" x14ac:dyDescent="0.35">
      <c r="A37" t="s">
        <v>153</v>
      </c>
      <c r="B37" t="s">
        <v>154</v>
      </c>
      <c r="C37" t="s">
        <v>82</v>
      </c>
      <c r="D37">
        <v>0</v>
      </c>
      <c r="E37">
        <v>1</v>
      </c>
      <c r="F37">
        <v>0</v>
      </c>
      <c r="G37">
        <v>0.05</v>
      </c>
      <c r="H37">
        <f>VLOOKUP(C37,WHO_region_parameters!$A$2:$C$7,2,FALSE)</f>
        <v>4.0000000000000001E-3</v>
      </c>
      <c r="I37">
        <f>VLOOKUP(C37,WHO_region_parameters!$A$2:$C$7,3,FALSE)</f>
        <v>0</v>
      </c>
      <c r="J37">
        <v>0.3</v>
      </c>
      <c r="K37">
        <v>0.6</v>
      </c>
      <c r="L37">
        <v>1990</v>
      </c>
      <c r="M37">
        <v>0.5</v>
      </c>
      <c r="N37">
        <v>0.24213999999999999</v>
      </c>
      <c r="O37">
        <f>VLOOKUP(C37,WHO_region_parameters!$A$2:$D$7,4,FALSE)*Dx_infacilitytesting_acceptability</f>
        <v>0.26594516366578902</v>
      </c>
    </row>
    <row r="38" spans="1:15" x14ac:dyDescent="0.35">
      <c r="A38" t="s">
        <v>155</v>
      </c>
      <c r="B38" t="s">
        <v>156</v>
      </c>
      <c r="C38" t="s">
        <v>82</v>
      </c>
      <c r="D38">
        <v>0</v>
      </c>
      <c r="E38">
        <v>1</v>
      </c>
      <c r="F38">
        <v>0</v>
      </c>
      <c r="G38">
        <v>0.05</v>
      </c>
      <c r="H38">
        <f>VLOOKUP(C38,WHO_region_parameters!$A$2:$C$7,2,FALSE)</f>
        <v>4.0000000000000001E-3</v>
      </c>
      <c r="I38">
        <f>VLOOKUP(C38,WHO_region_parameters!$A$2:$C$7,3,FALSE)</f>
        <v>0</v>
      </c>
      <c r="J38">
        <v>0.3</v>
      </c>
      <c r="K38">
        <v>0.6</v>
      </c>
      <c r="L38">
        <v>2009</v>
      </c>
      <c r="M38">
        <v>0.5</v>
      </c>
      <c r="N38">
        <v>0.45749000000000001</v>
      </c>
      <c r="O38">
        <f>VLOOKUP(C38,WHO_region_parameters!$A$2:$D$7,4,FALSE)*Dx_infacilitytesting_acceptability</f>
        <v>0.26594516366578902</v>
      </c>
    </row>
    <row r="39" spans="1:15" x14ac:dyDescent="0.35">
      <c r="A39" t="s">
        <v>157</v>
      </c>
      <c r="B39" t="s">
        <v>158</v>
      </c>
      <c r="C39" t="s">
        <v>105</v>
      </c>
      <c r="D39">
        <v>0</v>
      </c>
      <c r="E39">
        <v>1</v>
      </c>
      <c r="F39">
        <v>0</v>
      </c>
      <c r="G39">
        <v>0.05</v>
      </c>
      <c r="H39">
        <f>VLOOKUP(C39,WHO_region_parameters!$A$2:$C$7,2,FALSE)</f>
        <v>7.0000000000000001E-3</v>
      </c>
      <c r="I39">
        <f>VLOOKUP(C39,WHO_region_parameters!$A$2:$C$7,3,FALSE)</f>
        <v>3.0999999999999999E-3</v>
      </c>
      <c r="J39">
        <v>0.3</v>
      </c>
      <c r="K39">
        <v>0.6</v>
      </c>
      <c r="L39">
        <v>2005</v>
      </c>
      <c r="M39">
        <v>0.5</v>
      </c>
      <c r="N39">
        <v>0.25361</v>
      </c>
      <c r="O39">
        <f>VLOOKUP(C39,WHO_region_parameters!$A$2:$D$7,4,FALSE)*Dx_infacilitytesting_acceptability</f>
        <v>0.426962734427077</v>
      </c>
    </row>
    <row r="40" spans="1:15" x14ac:dyDescent="0.35">
      <c r="A40" t="s">
        <v>159</v>
      </c>
      <c r="B40" t="s">
        <v>160</v>
      </c>
      <c r="C40" t="s">
        <v>105</v>
      </c>
      <c r="D40">
        <v>0</v>
      </c>
      <c r="E40">
        <v>1</v>
      </c>
      <c r="F40">
        <v>0</v>
      </c>
      <c r="G40">
        <v>0.05</v>
      </c>
      <c r="H40">
        <f>VLOOKUP(C40,WHO_region_parameters!$A$2:$C$7,2,FALSE)</f>
        <v>7.0000000000000001E-3</v>
      </c>
      <c r="I40">
        <f>VLOOKUP(C40,WHO_region_parameters!$A$2:$C$7,3,FALSE)</f>
        <v>3.0999999999999999E-3</v>
      </c>
      <c r="J40">
        <v>0.3</v>
      </c>
      <c r="K40">
        <v>0.6</v>
      </c>
      <c r="L40">
        <v>2001</v>
      </c>
      <c r="M40">
        <v>0.5</v>
      </c>
      <c r="N40">
        <v>0.26077</v>
      </c>
      <c r="O40">
        <f>VLOOKUP(C40,WHO_region_parameters!$A$2:$D$7,4,FALSE)*Dx_infacilitytesting_acceptability</f>
        <v>0.426962734427077</v>
      </c>
    </row>
    <row r="41" spans="1:15" x14ac:dyDescent="0.35">
      <c r="A41" t="s">
        <v>161</v>
      </c>
      <c r="B41" t="s">
        <v>162</v>
      </c>
      <c r="C41" t="s">
        <v>105</v>
      </c>
      <c r="D41">
        <v>0</v>
      </c>
      <c r="E41">
        <v>1</v>
      </c>
      <c r="F41">
        <v>0</v>
      </c>
      <c r="G41">
        <v>0.05</v>
      </c>
      <c r="H41">
        <f>VLOOKUP(C41,WHO_region_parameters!$A$2:$C$7,2,FALSE)</f>
        <v>7.0000000000000001E-3</v>
      </c>
      <c r="I41">
        <f>VLOOKUP(C41,WHO_region_parameters!$A$2:$C$7,3,FALSE)</f>
        <v>3.0999999999999999E-3</v>
      </c>
      <c r="J41">
        <v>0.3</v>
      </c>
      <c r="K41">
        <v>0.6</v>
      </c>
      <c r="L41">
        <v>1997</v>
      </c>
      <c r="M41">
        <v>0.5</v>
      </c>
      <c r="N41">
        <v>0.39161999999999997</v>
      </c>
      <c r="O41">
        <f>VLOOKUP(C41,WHO_region_parameters!$A$2:$D$7,4,FALSE)*Dx_infacilitytesting_acceptability</f>
        <v>0.426962734427077</v>
      </c>
    </row>
    <row r="42" spans="1:15" x14ac:dyDescent="0.35">
      <c r="A42" t="s">
        <v>163</v>
      </c>
      <c r="B42" t="s">
        <v>164</v>
      </c>
      <c r="C42" t="s">
        <v>105</v>
      </c>
      <c r="D42">
        <v>0</v>
      </c>
      <c r="E42">
        <v>1</v>
      </c>
      <c r="F42">
        <v>0</v>
      </c>
      <c r="G42">
        <v>0.05</v>
      </c>
      <c r="H42">
        <f>VLOOKUP(C42,WHO_region_parameters!$A$2:$C$7,2,FALSE)</f>
        <v>7.0000000000000001E-3</v>
      </c>
      <c r="I42">
        <f>VLOOKUP(C42,WHO_region_parameters!$A$2:$C$7,3,FALSE)</f>
        <v>3.0999999999999999E-3</v>
      </c>
      <c r="J42">
        <v>0.3</v>
      </c>
      <c r="K42">
        <v>0.6</v>
      </c>
      <c r="L42">
        <v>2013</v>
      </c>
      <c r="M42">
        <v>0.5</v>
      </c>
      <c r="N42">
        <v>0.16811000000000001</v>
      </c>
      <c r="O42">
        <f>VLOOKUP(C42,WHO_region_parameters!$A$2:$D$7,4,FALSE)*Dx_infacilitytesting_acceptability</f>
        <v>0.426962734427077</v>
      </c>
    </row>
    <row r="43" spans="1:15" x14ac:dyDescent="0.35">
      <c r="A43" t="s">
        <v>165</v>
      </c>
      <c r="B43" t="s">
        <v>166</v>
      </c>
      <c r="C43" t="s">
        <v>114</v>
      </c>
      <c r="D43">
        <v>0</v>
      </c>
      <c r="E43">
        <v>1</v>
      </c>
      <c r="F43">
        <v>0</v>
      </c>
      <c r="G43">
        <v>0.05</v>
      </c>
      <c r="H43">
        <f>VLOOKUP(C43,WHO_region_parameters!$A$2:$C$7,2,FALSE)</f>
        <v>1.6E-2</v>
      </c>
      <c r="I43">
        <f>VLOOKUP(C43,WHO_region_parameters!$A$2:$C$7,3,FALSE)</f>
        <v>3.8E-3</v>
      </c>
      <c r="J43">
        <v>0.3</v>
      </c>
      <c r="K43">
        <v>0.6</v>
      </c>
      <c r="L43">
        <v>1992</v>
      </c>
      <c r="M43">
        <v>0.5</v>
      </c>
      <c r="N43">
        <v>0.13964000000000001</v>
      </c>
      <c r="O43">
        <f>VLOOKUP(C43,WHO_region_parameters!$A$2:$D$7,4,FALSE)*Dx_infacilitytesting_acceptability</f>
        <v>0.28018755337085549</v>
      </c>
    </row>
    <row r="44" spans="1:15" x14ac:dyDescent="0.35">
      <c r="A44" t="s">
        <v>167</v>
      </c>
      <c r="B44" t="s">
        <v>168</v>
      </c>
      <c r="C44" t="s">
        <v>98</v>
      </c>
      <c r="D44">
        <v>0</v>
      </c>
      <c r="E44">
        <v>1</v>
      </c>
      <c r="F44">
        <v>0</v>
      </c>
      <c r="G44">
        <v>0.05</v>
      </c>
      <c r="H44">
        <f>VLOOKUP(C44,WHO_region_parameters!$A$2:$C$7,2,FALSE)</f>
        <v>0.01</v>
      </c>
      <c r="I44">
        <f>VLOOKUP(C44,WHO_region_parameters!$A$2:$C$7,3,FALSE)</f>
        <v>0</v>
      </c>
      <c r="J44">
        <v>0.3</v>
      </c>
      <c r="K44">
        <v>0.6</v>
      </c>
      <c r="L44">
        <v>2004</v>
      </c>
      <c r="M44">
        <v>0.5</v>
      </c>
      <c r="N44">
        <v>0.15936</v>
      </c>
      <c r="O44">
        <f>VLOOKUP(C44,WHO_region_parameters!$A$2:$D$7,4,FALSE)*Dx_infacilitytesting_acceptability</f>
        <v>0.35465693889566102</v>
      </c>
    </row>
    <row r="45" spans="1:15" x14ac:dyDescent="0.35">
      <c r="A45" t="s">
        <v>169</v>
      </c>
      <c r="B45" t="s">
        <v>170</v>
      </c>
      <c r="C45" t="s">
        <v>79</v>
      </c>
      <c r="D45">
        <v>0</v>
      </c>
      <c r="E45">
        <v>1</v>
      </c>
      <c r="F45">
        <v>0</v>
      </c>
      <c r="G45">
        <v>0.25</v>
      </c>
      <c r="H45">
        <f>VLOOKUP(C45,WHO_region_parameters!$A$2:$C$7,2,FALSE)</f>
        <v>4.0000000000000001E-3</v>
      </c>
      <c r="I45">
        <f>VLOOKUP(C45,WHO_region_parameters!$A$2:$C$7,3,FALSE)</f>
        <v>1.2500000000000001E-2</v>
      </c>
      <c r="J45">
        <v>0.3</v>
      </c>
      <c r="K45">
        <v>0.6</v>
      </c>
      <c r="L45">
        <v>1994</v>
      </c>
      <c r="M45">
        <v>0.5</v>
      </c>
      <c r="N45">
        <v>0.15195999999999998</v>
      </c>
      <c r="O45">
        <f>VLOOKUP(C45,WHO_region_parameters!$A$2:$D$7,4,FALSE)*Dx_infacilitytesting_acceptability</f>
        <v>0.34718290865108348</v>
      </c>
    </row>
    <row r="46" spans="1:15" x14ac:dyDescent="0.35">
      <c r="A46" t="s">
        <v>171</v>
      </c>
      <c r="B46" t="s">
        <v>172</v>
      </c>
      <c r="C46" t="s">
        <v>79</v>
      </c>
      <c r="D46">
        <v>0</v>
      </c>
      <c r="E46">
        <v>1</v>
      </c>
      <c r="F46">
        <v>0</v>
      </c>
      <c r="G46">
        <v>0.05</v>
      </c>
      <c r="H46">
        <f>VLOOKUP(C46,WHO_region_parameters!$A$2:$C$7,2,FALSE)</f>
        <v>4.0000000000000001E-3</v>
      </c>
      <c r="I46">
        <f>VLOOKUP(C46,WHO_region_parameters!$A$2:$C$7,3,FALSE)</f>
        <v>1.2500000000000001E-2</v>
      </c>
      <c r="J46">
        <v>0.3</v>
      </c>
      <c r="K46">
        <v>0.6</v>
      </c>
      <c r="L46">
        <v>1994</v>
      </c>
      <c r="M46">
        <v>0.5</v>
      </c>
      <c r="N46">
        <v>0.12333</v>
      </c>
      <c r="O46">
        <f>VLOOKUP(C46,WHO_region_parameters!$A$2:$D$7,4,FALSE)*Dx_infacilitytesting_acceptability</f>
        <v>0.34718290865108348</v>
      </c>
    </row>
    <row r="47" spans="1:15" x14ac:dyDescent="0.35">
      <c r="A47" t="s">
        <v>173</v>
      </c>
      <c r="B47" t="s">
        <v>174</v>
      </c>
      <c r="C47" t="s">
        <v>105</v>
      </c>
      <c r="D47">
        <v>0</v>
      </c>
      <c r="E47" s="8">
        <v>0</v>
      </c>
      <c r="F47">
        <v>0</v>
      </c>
      <c r="G47">
        <v>0.05</v>
      </c>
      <c r="H47">
        <f>VLOOKUP(C47,WHO_region_parameters!$A$2:$C$7,2,FALSE)</f>
        <v>7.0000000000000001E-3</v>
      </c>
      <c r="I47">
        <f>VLOOKUP(C47,WHO_region_parameters!$A$2:$C$7,3,FALSE)</f>
        <v>3.0999999999999999E-3</v>
      </c>
      <c r="J47">
        <v>0.3</v>
      </c>
      <c r="K47">
        <v>0.6</v>
      </c>
      <c r="L47">
        <v>2003</v>
      </c>
      <c r="M47">
        <v>0.5</v>
      </c>
      <c r="N47">
        <v>0.27202000000000004</v>
      </c>
      <c r="O47">
        <f>VLOOKUP(C47,WHO_region_parameters!$A$2:$D$7,4,FALSE)*Dx_infacilitytesting_acceptability</f>
        <v>0.426962734427077</v>
      </c>
    </row>
    <row r="48" spans="1:15" x14ac:dyDescent="0.35">
      <c r="A48" t="s">
        <v>175</v>
      </c>
      <c r="B48" t="s">
        <v>176</v>
      </c>
      <c r="C48" t="s">
        <v>79</v>
      </c>
      <c r="D48">
        <v>0</v>
      </c>
      <c r="E48" s="8">
        <v>0</v>
      </c>
      <c r="F48">
        <v>0</v>
      </c>
      <c r="G48">
        <v>0.05</v>
      </c>
      <c r="H48">
        <f>VLOOKUP(C48,WHO_region_parameters!$A$2:$C$7,2,FALSE)</f>
        <v>4.0000000000000001E-3</v>
      </c>
      <c r="I48">
        <f>VLOOKUP(C48,WHO_region_parameters!$A$2:$C$7,3,FALSE)</f>
        <v>1.2500000000000001E-2</v>
      </c>
      <c r="J48">
        <v>0.3</v>
      </c>
      <c r="K48">
        <v>0.6</v>
      </c>
      <c r="L48">
        <v>1995</v>
      </c>
      <c r="M48">
        <v>0.5</v>
      </c>
      <c r="N48">
        <v>6.2619999999999995E-2</v>
      </c>
      <c r="O48">
        <f>VLOOKUP(C48,WHO_region_parameters!$A$2:$D$7,4,FALSE)*Dx_infacilitytesting_acceptability</f>
        <v>0.34718290865108348</v>
      </c>
    </row>
    <row r="49" spans="1:15" x14ac:dyDescent="0.35">
      <c r="A49" t="s">
        <v>177</v>
      </c>
      <c r="B49" t="s">
        <v>178</v>
      </c>
      <c r="C49" t="s">
        <v>82</v>
      </c>
      <c r="D49">
        <v>0</v>
      </c>
      <c r="E49">
        <v>1</v>
      </c>
      <c r="F49">
        <v>0</v>
      </c>
      <c r="G49">
        <v>0.05</v>
      </c>
      <c r="H49">
        <f>VLOOKUP(C49,WHO_region_parameters!$A$2:$C$7,2,FALSE)</f>
        <v>4.0000000000000001E-3</v>
      </c>
      <c r="I49">
        <f>VLOOKUP(C49,WHO_region_parameters!$A$2:$C$7,3,FALSE)</f>
        <v>0</v>
      </c>
      <c r="J49">
        <v>0.3</v>
      </c>
      <c r="K49">
        <v>0.6</v>
      </c>
      <c r="L49">
        <v>2002</v>
      </c>
      <c r="M49">
        <v>0.5</v>
      </c>
      <c r="N49">
        <v>0.22943999999999998</v>
      </c>
      <c r="O49">
        <f>VLOOKUP(C49,WHO_region_parameters!$A$2:$D$7,4,FALSE)*Dx_infacilitytesting_acceptability</f>
        <v>0.26594516366578902</v>
      </c>
    </row>
    <row r="50" spans="1:15" x14ac:dyDescent="0.35">
      <c r="A50" t="s">
        <v>179</v>
      </c>
      <c r="B50" t="s">
        <v>180</v>
      </c>
      <c r="C50" t="s">
        <v>85</v>
      </c>
      <c r="D50">
        <v>0</v>
      </c>
      <c r="E50">
        <v>1</v>
      </c>
      <c r="F50">
        <v>0</v>
      </c>
      <c r="G50">
        <v>0.05</v>
      </c>
      <c r="H50">
        <f>VLOOKUP(C50,WHO_region_parameters!$A$2:$C$7,2,FALSE)</f>
        <v>1.4999999999999999E-2</v>
      </c>
      <c r="I50">
        <f>VLOOKUP(C50,WHO_region_parameters!$A$2:$C$7,3,FALSE)</f>
        <v>1.2699999999999999E-2</v>
      </c>
      <c r="J50">
        <v>0.3</v>
      </c>
      <c r="K50">
        <v>0.6</v>
      </c>
      <c r="L50">
        <v>1999</v>
      </c>
      <c r="M50">
        <v>0.5</v>
      </c>
      <c r="N50">
        <v>0.23132000000000003</v>
      </c>
      <c r="O50">
        <f>VLOOKUP(C50,WHO_region_parameters!$A$2:$D$7,4,FALSE)*Dx_infacilitytesting_acceptability</f>
        <v>0.42042078352794848</v>
      </c>
    </row>
    <row r="51" spans="1:15" x14ac:dyDescent="0.35">
      <c r="A51" t="s">
        <v>181</v>
      </c>
      <c r="B51" t="s">
        <v>182</v>
      </c>
      <c r="C51" t="s">
        <v>114</v>
      </c>
      <c r="D51">
        <v>0</v>
      </c>
      <c r="E51">
        <v>1</v>
      </c>
      <c r="F51">
        <v>0</v>
      </c>
      <c r="G51">
        <v>0.23</v>
      </c>
      <c r="H51">
        <f>VLOOKUP(C51,WHO_region_parameters!$A$2:$C$7,2,FALSE)</f>
        <v>1.6E-2</v>
      </c>
      <c r="I51">
        <f>VLOOKUP(C51,WHO_region_parameters!$A$2:$C$7,3,FALSE)</f>
        <v>3.8E-3</v>
      </c>
      <c r="J51">
        <v>0.3</v>
      </c>
      <c r="K51">
        <v>0.6</v>
      </c>
      <c r="L51">
        <v>2006</v>
      </c>
      <c r="M51">
        <v>0.5</v>
      </c>
      <c r="N51">
        <v>0.30841000000000002</v>
      </c>
      <c r="O51">
        <f>VLOOKUP(C51,WHO_region_parameters!$A$2:$D$7,4,FALSE)*Dx_infacilitytesting_acceptability</f>
        <v>0.28018755337085549</v>
      </c>
    </row>
    <row r="52" spans="1:15" x14ac:dyDescent="0.35">
      <c r="A52" t="s">
        <v>183</v>
      </c>
      <c r="B52" t="s">
        <v>184</v>
      </c>
      <c r="C52" t="s">
        <v>114</v>
      </c>
      <c r="D52">
        <v>0</v>
      </c>
      <c r="E52">
        <v>1</v>
      </c>
      <c r="F52">
        <v>0</v>
      </c>
      <c r="G52">
        <v>0.05</v>
      </c>
      <c r="H52">
        <f>VLOOKUP(C52,WHO_region_parameters!$A$2:$C$7,2,FALSE)</f>
        <v>1.6E-2</v>
      </c>
      <c r="I52">
        <f>VLOOKUP(C52,WHO_region_parameters!$A$2:$C$7,3,FALSE)</f>
        <v>3.8E-3</v>
      </c>
      <c r="J52">
        <v>0.3</v>
      </c>
      <c r="K52">
        <v>0.6</v>
      </c>
      <c r="L52">
        <v>1990</v>
      </c>
      <c r="M52">
        <v>0.5</v>
      </c>
      <c r="N52">
        <v>0.33826999999999996</v>
      </c>
      <c r="O52">
        <f>VLOOKUP(C52,WHO_region_parameters!$A$2:$D$7,4,FALSE)*Dx_infacilitytesting_acceptability</f>
        <v>0.28018755337085549</v>
      </c>
    </row>
    <row r="53" spans="1:15" x14ac:dyDescent="0.35">
      <c r="A53" t="s">
        <v>185</v>
      </c>
      <c r="B53" t="s">
        <v>186</v>
      </c>
      <c r="C53" t="s">
        <v>114</v>
      </c>
      <c r="D53">
        <v>0</v>
      </c>
      <c r="E53">
        <v>1</v>
      </c>
      <c r="F53">
        <v>0</v>
      </c>
      <c r="G53">
        <v>0.05</v>
      </c>
      <c r="H53">
        <f>VLOOKUP(C53,WHO_region_parameters!$A$2:$C$7,2,FALSE)</f>
        <v>1.6E-2</v>
      </c>
      <c r="I53">
        <f>VLOOKUP(C53,WHO_region_parameters!$A$2:$C$7,3,FALSE)</f>
        <v>3.8E-3</v>
      </c>
      <c r="J53">
        <v>0.3</v>
      </c>
      <c r="K53">
        <v>0.6</v>
      </c>
      <c r="L53">
        <v>2003</v>
      </c>
      <c r="M53">
        <v>0.5</v>
      </c>
      <c r="N53">
        <v>0.67693999999999999</v>
      </c>
      <c r="O53">
        <f>VLOOKUP(C53,WHO_region_parameters!$A$2:$D$7,4,FALSE)*Dx_infacilitytesting_acceptability</f>
        <v>0.28018755337085549</v>
      </c>
    </row>
    <row r="54" spans="1:15" x14ac:dyDescent="0.35">
      <c r="A54" t="s">
        <v>187</v>
      </c>
      <c r="B54" t="s">
        <v>188</v>
      </c>
      <c r="C54" t="s">
        <v>82</v>
      </c>
      <c r="D54">
        <v>0</v>
      </c>
      <c r="E54">
        <v>1</v>
      </c>
      <c r="F54">
        <v>0</v>
      </c>
      <c r="G54">
        <v>0.05</v>
      </c>
      <c r="H54">
        <f>VLOOKUP(C54,WHO_region_parameters!$A$2:$C$7,2,FALSE)</f>
        <v>4.0000000000000001E-3</v>
      </c>
      <c r="I54">
        <f>VLOOKUP(C54,WHO_region_parameters!$A$2:$C$7,3,FALSE)</f>
        <v>0</v>
      </c>
      <c r="J54">
        <v>0.3</v>
      </c>
      <c r="K54">
        <v>0.6</v>
      </c>
      <c r="L54">
        <v>2008</v>
      </c>
      <c r="M54">
        <v>0.5</v>
      </c>
      <c r="N54">
        <v>0.40914</v>
      </c>
      <c r="O54">
        <f>VLOOKUP(C54,WHO_region_parameters!$A$2:$D$7,4,FALSE)*Dx_infacilitytesting_acceptability</f>
        <v>0.26594516366578902</v>
      </c>
    </row>
    <row r="55" spans="1:15" x14ac:dyDescent="0.35">
      <c r="A55" t="s">
        <v>189</v>
      </c>
      <c r="B55" t="s">
        <v>190</v>
      </c>
      <c r="C55" t="s">
        <v>98</v>
      </c>
      <c r="D55">
        <v>0</v>
      </c>
      <c r="E55" s="8">
        <v>0</v>
      </c>
      <c r="F55">
        <v>0</v>
      </c>
      <c r="G55">
        <v>0.05</v>
      </c>
      <c r="H55">
        <f>VLOOKUP(C55,WHO_region_parameters!$A$2:$C$7,2,FALSE)</f>
        <v>0.01</v>
      </c>
      <c r="I55">
        <f>VLOOKUP(C55,WHO_region_parameters!$A$2:$C$7,3,FALSE)</f>
        <v>0</v>
      </c>
      <c r="J55">
        <v>0.3</v>
      </c>
      <c r="K55">
        <v>0.6</v>
      </c>
      <c r="L55">
        <v>2003</v>
      </c>
      <c r="M55">
        <v>0.5</v>
      </c>
      <c r="N55">
        <v>0.14666999999999999</v>
      </c>
      <c r="O55">
        <f>VLOOKUP(C55,WHO_region_parameters!$A$2:$D$7,4,FALSE)*Dx_infacilitytesting_acceptability</f>
        <v>0.35465693889566102</v>
      </c>
    </row>
    <row r="56" spans="1:15" x14ac:dyDescent="0.35">
      <c r="A56" t="s">
        <v>191</v>
      </c>
      <c r="B56" t="s">
        <v>192</v>
      </c>
      <c r="C56" t="s">
        <v>82</v>
      </c>
      <c r="D56">
        <v>0</v>
      </c>
      <c r="E56">
        <v>1</v>
      </c>
      <c r="F56">
        <v>0</v>
      </c>
      <c r="G56">
        <v>0.05</v>
      </c>
      <c r="H56">
        <f>VLOOKUP(C56,WHO_region_parameters!$A$2:$C$7,2,FALSE)</f>
        <v>4.0000000000000001E-3</v>
      </c>
      <c r="I56">
        <f>VLOOKUP(C56,WHO_region_parameters!$A$2:$C$7,3,FALSE)</f>
        <v>0</v>
      </c>
      <c r="J56">
        <v>0.3</v>
      </c>
      <c r="K56">
        <v>0.6</v>
      </c>
      <c r="L56">
        <v>2003</v>
      </c>
      <c r="M56">
        <v>0.5</v>
      </c>
      <c r="N56">
        <v>0.59760000000000002</v>
      </c>
      <c r="O56">
        <f>VLOOKUP(C56,WHO_region_parameters!$A$2:$D$7,4,FALSE)*Dx_infacilitytesting_acceptability</f>
        <v>0.26594516366578902</v>
      </c>
    </row>
    <row r="57" spans="1:15" x14ac:dyDescent="0.35">
      <c r="A57" t="s">
        <v>193</v>
      </c>
      <c r="B57" t="s">
        <v>194</v>
      </c>
      <c r="C57" t="s">
        <v>79</v>
      </c>
      <c r="D57">
        <v>0</v>
      </c>
      <c r="E57">
        <v>1</v>
      </c>
      <c r="F57">
        <v>0</v>
      </c>
      <c r="G57">
        <v>0.05</v>
      </c>
      <c r="H57">
        <f>VLOOKUP(C57,WHO_region_parameters!$A$2:$C$7,2,FALSE)</f>
        <v>4.0000000000000001E-3</v>
      </c>
      <c r="I57">
        <f>VLOOKUP(C57,WHO_region_parameters!$A$2:$C$7,3,FALSE)</f>
        <v>1.2500000000000001E-2</v>
      </c>
      <c r="J57">
        <v>0.3</v>
      </c>
      <c r="K57">
        <v>0.6</v>
      </c>
      <c r="L57">
        <v>1999</v>
      </c>
      <c r="M57">
        <v>0.5</v>
      </c>
      <c r="N57">
        <v>0.21751000000000001</v>
      </c>
      <c r="O57">
        <f>VLOOKUP(C57,WHO_region_parameters!$A$2:$D$7,4,FALSE)*Dx_infacilitytesting_acceptability</f>
        <v>0.34718290865108348</v>
      </c>
    </row>
    <row r="58" spans="1:15" x14ac:dyDescent="0.35">
      <c r="A58" t="s">
        <v>195</v>
      </c>
      <c r="B58" t="s">
        <v>196</v>
      </c>
      <c r="C58" t="s">
        <v>85</v>
      </c>
      <c r="D58">
        <v>0</v>
      </c>
      <c r="E58">
        <v>1</v>
      </c>
      <c r="F58">
        <v>0</v>
      </c>
      <c r="G58">
        <v>0.05</v>
      </c>
      <c r="H58">
        <f>VLOOKUP(C58,WHO_region_parameters!$A$2:$C$7,2,FALSE)</f>
        <v>1.4999999999999999E-2</v>
      </c>
      <c r="I58">
        <f>VLOOKUP(C58,WHO_region_parameters!$A$2:$C$7,3,FALSE)</f>
        <v>1.2699999999999999E-2</v>
      </c>
      <c r="J58">
        <v>0.3</v>
      </c>
      <c r="K58">
        <v>0.6</v>
      </c>
      <c r="L58">
        <v>1995</v>
      </c>
      <c r="M58">
        <v>0.5</v>
      </c>
      <c r="N58">
        <v>0.46401999999999999</v>
      </c>
      <c r="O58">
        <f>VLOOKUP(C58,WHO_region_parameters!$A$2:$D$7,4,FALSE)*Dx_infacilitytesting_acceptability</f>
        <v>0.42042078352794848</v>
      </c>
    </row>
    <row r="59" spans="1:15" x14ac:dyDescent="0.35">
      <c r="A59" t="s">
        <v>197</v>
      </c>
      <c r="B59" t="s">
        <v>198</v>
      </c>
      <c r="C59" t="s">
        <v>82</v>
      </c>
      <c r="D59">
        <v>0</v>
      </c>
      <c r="E59">
        <v>1</v>
      </c>
      <c r="F59">
        <v>0</v>
      </c>
      <c r="G59">
        <v>0.05</v>
      </c>
      <c r="H59">
        <f>VLOOKUP(C59,WHO_region_parameters!$A$2:$C$7,2,FALSE)</f>
        <v>4.0000000000000001E-3</v>
      </c>
      <c r="I59">
        <f>VLOOKUP(C59,WHO_region_parameters!$A$2:$C$7,3,FALSE)</f>
        <v>0</v>
      </c>
      <c r="J59">
        <v>0.3</v>
      </c>
      <c r="K59">
        <v>0.6</v>
      </c>
      <c r="L59">
        <v>2002</v>
      </c>
      <c r="M59">
        <v>0.5</v>
      </c>
      <c r="N59">
        <v>0.55066999999999999</v>
      </c>
      <c r="O59">
        <f>VLOOKUP(C59,WHO_region_parameters!$A$2:$D$7,4,FALSE)*Dx_infacilitytesting_acceptability</f>
        <v>0.26594516366578902</v>
      </c>
    </row>
    <row r="60" spans="1:15" x14ac:dyDescent="0.35">
      <c r="A60" t="s">
        <v>199</v>
      </c>
      <c r="B60" t="s">
        <v>200</v>
      </c>
      <c r="C60" t="s">
        <v>114</v>
      </c>
      <c r="D60">
        <v>0</v>
      </c>
      <c r="E60">
        <v>1</v>
      </c>
      <c r="F60">
        <v>0</v>
      </c>
      <c r="G60">
        <v>0.05</v>
      </c>
      <c r="H60">
        <f>VLOOKUP(C60,WHO_region_parameters!$A$2:$C$7,2,FALSE)</f>
        <v>1.6E-2</v>
      </c>
      <c r="I60">
        <f>VLOOKUP(C60,WHO_region_parameters!$A$2:$C$7,3,FALSE)</f>
        <v>3.8E-3</v>
      </c>
      <c r="J60">
        <v>0.3</v>
      </c>
      <c r="K60">
        <v>0.6</v>
      </c>
      <c r="L60">
        <v>1989</v>
      </c>
      <c r="M60">
        <v>0.5</v>
      </c>
      <c r="N60">
        <v>0.48752000000000001</v>
      </c>
      <c r="O60">
        <f>VLOOKUP(C60,WHO_region_parameters!$A$2:$D$7,4,FALSE)*Dx_infacilitytesting_acceptability</f>
        <v>0.28018755337085549</v>
      </c>
    </row>
    <row r="61" spans="1:15" x14ac:dyDescent="0.35">
      <c r="A61" t="s">
        <v>201</v>
      </c>
      <c r="B61" t="s">
        <v>202</v>
      </c>
      <c r="C61" t="s">
        <v>85</v>
      </c>
      <c r="D61">
        <v>0</v>
      </c>
      <c r="E61">
        <v>1</v>
      </c>
      <c r="F61">
        <v>0</v>
      </c>
      <c r="G61">
        <v>0.05</v>
      </c>
      <c r="H61">
        <f>VLOOKUP(C61,WHO_region_parameters!$A$2:$C$7,2,FALSE)</f>
        <v>1.4999999999999999E-2</v>
      </c>
      <c r="I61">
        <f>VLOOKUP(C61,WHO_region_parameters!$A$2:$C$7,3,FALSE)</f>
        <v>1.2699999999999999E-2</v>
      </c>
      <c r="J61">
        <v>0.3</v>
      </c>
      <c r="K61">
        <v>0.6</v>
      </c>
      <c r="L61">
        <v>2005</v>
      </c>
      <c r="M61">
        <v>0.5</v>
      </c>
      <c r="N61">
        <v>0.28802</v>
      </c>
      <c r="O61">
        <f>VLOOKUP(C61,WHO_region_parameters!$A$2:$D$7,4,FALSE)*Dx_infacilitytesting_acceptability</f>
        <v>0.42042078352794848</v>
      </c>
    </row>
    <row r="62" spans="1:15" x14ac:dyDescent="0.35">
      <c r="A62" t="s">
        <v>203</v>
      </c>
      <c r="B62" t="s">
        <v>204</v>
      </c>
      <c r="C62" t="s">
        <v>82</v>
      </c>
      <c r="D62">
        <v>0</v>
      </c>
      <c r="E62">
        <v>1</v>
      </c>
      <c r="F62">
        <v>0</v>
      </c>
      <c r="G62">
        <v>0.05</v>
      </c>
      <c r="H62">
        <f>VLOOKUP(C62,WHO_region_parameters!$A$2:$C$7,2,FALSE)</f>
        <v>4.0000000000000001E-3</v>
      </c>
      <c r="I62">
        <f>VLOOKUP(C62,WHO_region_parameters!$A$2:$C$7,3,FALSE)</f>
        <v>0</v>
      </c>
      <c r="J62">
        <v>0.3</v>
      </c>
      <c r="K62">
        <v>0.6</v>
      </c>
      <c r="L62">
        <v>2003</v>
      </c>
      <c r="M62">
        <v>0.5</v>
      </c>
      <c r="N62">
        <v>0.50683999999999996</v>
      </c>
      <c r="O62">
        <f>VLOOKUP(C62,WHO_region_parameters!$A$2:$D$7,4,FALSE)*Dx_infacilitytesting_acceptability</f>
        <v>0.26594516366578902</v>
      </c>
    </row>
    <row r="63" spans="1:15" x14ac:dyDescent="0.35">
      <c r="A63" t="s">
        <v>205</v>
      </c>
      <c r="B63" t="s">
        <v>206</v>
      </c>
      <c r="C63" t="s">
        <v>98</v>
      </c>
      <c r="D63">
        <v>0</v>
      </c>
      <c r="E63">
        <v>1</v>
      </c>
      <c r="F63">
        <v>0</v>
      </c>
      <c r="G63">
        <v>0.05</v>
      </c>
      <c r="H63">
        <f>VLOOKUP(C63,WHO_region_parameters!$A$2:$C$7,2,FALSE)</f>
        <v>0.01</v>
      </c>
      <c r="I63">
        <f>VLOOKUP(C63,WHO_region_parameters!$A$2:$C$7,3,FALSE)</f>
        <v>0</v>
      </c>
      <c r="J63">
        <v>0.3</v>
      </c>
      <c r="K63">
        <v>0.6</v>
      </c>
      <c r="L63">
        <v>2003</v>
      </c>
      <c r="M63">
        <v>0.5</v>
      </c>
      <c r="N63">
        <v>0.30603999999999998</v>
      </c>
      <c r="O63">
        <f>VLOOKUP(C63,WHO_region_parameters!$A$2:$D$7,4,FALSE)*Dx_infacilitytesting_acceptability</f>
        <v>0.35465693889566102</v>
      </c>
    </row>
    <row r="64" spans="1:15" x14ac:dyDescent="0.35">
      <c r="A64" t="s">
        <v>207</v>
      </c>
      <c r="B64" t="s">
        <v>208</v>
      </c>
      <c r="C64" t="s">
        <v>114</v>
      </c>
      <c r="D64">
        <v>0</v>
      </c>
      <c r="E64">
        <v>1</v>
      </c>
      <c r="F64">
        <v>0</v>
      </c>
      <c r="G64">
        <v>0.05</v>
      </c>
      <c r="H64">
        <f>VLOOKUP(C64,WHO_region_parameters!$A$2:$C$7,2,FALSE)</f>
        <v>1.6E-2</v>
      </c>
      <c r="I64">
        <f>VLOOKUP(C64,WHO_region_parameters!$A$2:$C$7,3,FALSE)</f>
        <v>3.8E-3</v>
      </c>
      <c r="J64">
        <v>0.3</v>
      </c>
      <c r="K64">
        <v>0.6</v>
      </c>
      <c r="L64">
        <v>1991</v>
      </c>
      <c r="M64">
        <v>0.5</v>
      </c>
      <c r="N64">
        <v>0.28908</v>
      </c>
      <c r="O64">
        <f>VLOOKUP(C64,WHO_region_parameters!$A$2:$D$7,4,FALSE)*Dx_infacilitytesting_acceptability</f>
        <v>0.28018755337085549</v>
      </c>
    </row>
    <row r="65" spans="1:15" x14ac:dyDescent="0.35">
      <c r="A65" t="s">
        <v>209</v>
      </c>
      <c r="B65" t="s">
        <v>210</v>
      </c>
      <c r="C65" t="s">
        <v>82</v>
      </c>
      <c r="D65">
        <v>0</v>
      </c>
      <c r="E65">
        <v>1</v>
      </c>
      <c r="F65">
        <v>0</v>
      </c>
      <c r="G65">
        <v>0.05</v>
      </c>
      <c r="H65">
        <f>VLOOKUP(C65,WHO_region_parameters!$A$2:$C$7,2,FALSE)</f>
        <v>4.0000000000000001E-3</v>
      </c>
      <c r="I65">
        <f>VLOOKUP(C65,WHO_region_parameters!$A$2:$C$7,3,FALSE)</f>
        <v>0</v>
      </c>
      <c r="J65">
        <v>0.3</v>
      </c>
      <c r="K65">
        <v>0.6</v>
      </c>
      <c r="L65">
        <v>2001</v>
      </c>
      <c r="M65">
        <v>0.5</v>
      </c>
      <c r="N65">
        <v>0.4637</v>
      </c>
      <c r="O65">
        <f>VLOOKUP(C65,WHO_region_parameters!$A$2:$D$7,4,FALSE)*Dx_infacilitytesting_acceptability</f>
        <v>0.26594516366578902</v>
      </c>
    </row>
    <row r="66" spans="1:15" x14ac:dyDescent="0.35">
      <c r="A66" t="s">
        <v>211</v>
      </c>
      <c r="B66" t="s">
        <v>212</v>
      </c>
      <c r="C66" t="s">
        <v>82</v>
      </c>
      <c r="D66">
        <v>0</v>
      </c>
      <c r="E66" s="8">
        <v>0</v>
      </c>
      <c r="F66">
        <v>0</v>
      </c>
      <c r="G66">
        <v>0.05</v>
      </c>
      <c r="H66">
        <f>VLOOKUP(C66,WHO_region_parameters!$A$2:$C$7,2,FALSE)</f>
        <v>4.0000000000000001E-3</v>
      </c>
      <c r="I66">
        <f>VLOOKUP(C66,WHO_region_parameters!$A$2:$C$7,3,FALSE)</f>
        <v>0</v>
      </c>
      <c r="J66">
        <v>0.3</v>
      </c>
      <c r="K66">
        <v>0.6</v>
      </c>
      <c r="L66">
        <v>2005</v>
      </c>
      <c r="M66">
        <v>0.5</v>
      </c>
      <c r="N66">
        <v>0.39039000000000001</v>
      </c>
      <c r="O66">
        <f>VLOOKUP(C66,WHO_region_parameters!$A$2:$D$7,4,FALSE)*Dx_infacilitytesting_acceptability</f>
        <v>0.26594516366578902</v>
      </c>
    </row>
    <row r="67" spans="1:15" x14ac:dyDescent="0.35">
      <c r="A67" t="s">
        <v>213</v>
      </c>
      <c r="B67" t="s">
        <v>214</v>
      </c>
      <c r="C67" t="s">
        <v>82</v>
      </c>
      <c r="D67">
        <v>0</v>
      </c>
      <c r="E67">
        <v>1</v>
      </c>
      <c r="F67">
        <v>0</v>
      </c>
      <c r="G67">
        <v>0.05</v>
      </c>
      <c r="H67">
        <f>VLOOKUP(C67,WHO_region_parameters!$A$2:$C$7,2,FALSE)</f>
        <v>4.0000000000000001E-3</v>
      </c>
      <c r="I67">
        <f>VLOOKUP(C67,WHO_region_parameters!$A$2:$C$7,3,FALSE)</f>
        <v>0</v>
      </c>
      <c r="J67">
        <v>0.3</v>
      </c>
      <c r="K67">
        <v>0.6</v>
      </c>
      <c r="L67">
        <v>2002</v>
      </c>
      <c r="M67">
        <v>0.5</v>
      </c>
      <c r="N67">
        <v>0.29441000000000001</v>
      </c>
      <c r="O67">
        <f>VLOOKUP(C67,WHO_region_parameters!$A$2:$D$7,4,FALSE)*Dx_infacilitytesting_acceptability</f>
        <v>0.26594516366578902</v>
      </c>
    </row>
    <row r="68" spans="1:15" x14ac:dyDescent="0.35">
      <c r="A68" t="s">
        <v>215</v>
      </c>
      <c r="B68" t="s">
        <v>216</v>
      </c>
      <c r="C68" t="s">
        <v>82</v>
      </c>
      <c r="D68">
        <v>0</v>
      </c>
      <c r="E68">
        <v>1</v>
      </c>
      <c r="F68">
        <v>0</v>
      </c>
      <c r="G68">
        <v>0.05</v>
      </c>
      <c r="H68">
        <f>VLOOKUP(C68,WHO_region_parameters!$A$2:$C$7,2,FALSE)</f>
        <v>4.0000000000000001E-3</v>
      </c>
      <c r="I68">
        <f>VLOOKUP(C68,WHO_region_parameters!$A$2:$C$7,3,FALSE)</f>
        <v>0</v>
      </c>
      <c r="J68">
        <v>0.3</v>
      </c>
      <c r="K68">
        <v>0.6</v>
      </c>
      <c r="L68">
        <v>2010</v>
      </c>
      <c r="M68">
        <v>0.5</v>
      </c>
      <c r="N68">
        <v>0.56213000000000002</v>
      </c>
      <c r="O68">
        <f>VLOOKUP(C68,WHO_region_parameters!$A$2:$D$7,4,FALSE)*Dx_infacilitytesting_acceptability</f>
        <v>0.26594516366578902</v>
      </c>
    </row>
    <row r="69" spans="1:15" x14ac:dyDescent="0.35">
      <c r="A69" t="s">
        <v>217</v>
      </c>
      <c r="B69" t="s">
        <v>218</v>
      </c>
      <c r="C69" t="s">
        <v>82</v>
      </c>
      <c r="D69">
        <v>0</v>
      </c>
      <c r="E69">
        <v>1</v>
      </c>
      <c r="F69">
        <v>0</v>
      </c>
      <c r="G69">
        <v>0.05</v>
      </c>
      <c r="H69">
        <f>VLOOKUP(C69,WHO_region_parameters!$A$2:$C$7,2,FALSE)</f>
        <v>4.0000000000000001E-3</v>
      </c>
      <c r="I69">
        <f>VLOOKUP(C69,WHO_region_parameters!$A$2:$C$7,3,FALSE)</f>
        <v>0</v>
      </c>
      <c r="J69">
        <v>0.3</v>
      </c>
      <c r="K69">
        <v>0.6</v>
      </c>
      <c r="L69">
        <v>2009</v>
      </c>
      <c r="M69">
        <v>0.5</v>
      </c>
      <c r="N69">
        <v>0.4819</v>
      </c>
      <c r="O69">
        <f>VLOOKUP(C69,WHO_region_parameters!$A$2:$D$7,4,FALSE)*Dx_infacilitytesting_acceptability</f>
        <v>0.26594516366578902</v>
      </c>
    </row>
    <row r="70" spans="1:15" x14ac:dyDescent="0.35">
      <c r="A70" t="s">
        <v>219</v>
      </c>
      <c r="B70" t="s">
        <v>220</v>
      </c>
      <c r="C70" t="s">
        <v>82</v>
      </c>
      <c r="D70">
        <v>0</v>
      </c>
      <c r="E70">
        <v>1</v>
      </c>
      <c r="F70">
        <v>0</v>
      </c>
      <c r="G70">
        <v>0.05</v>
      </c>
      <c r="H70">
        <f>VLOOKUP(C70,WHO_region_parameters!$A$2:$C$7,2,FALSE)</f>
        <v>4.0000000000000001E-3</v>
      </c>
      <c r="I70">
        <f>VLOOKUP(C70,WHO_region_parameters!$A$2:$C$7,3,FALSE)</f>
        <v>0</v>
      </c>
      <c r="J70">
        <v>0.3</v>
      </c>
      <c r="K70">
        <v>0.6</v>
      </c>
      <c r="L70">
        <v>2004</v>
      </c>
      <c r="M70">
        <v>0.5</v>
      </c>
      <c r="N70">
        <v>0.18206</v>
      </c>
      <c r="O70">
        <f>VLOOKUP(C70,WHO_region_parameters!$A$2:$D$7,4,FALSE)*Dx_infacilitytesting_acceptability</f>
        <v>0.26594516366578902</v>
      </c>
    </row>
    <row r="71" spans="1:15" x14ac:dyDescent="0.35">
      <c r="A71" t="s">
        <v>221</v>
      </c>
      <c r="B71" t="s">
        <v>355</v>
      </c>
      <c r="C71" t="s">
        <v>105</v>
      </c>
      <c r="D71">
        <v>0</v>
      </c>
      <c r="E71">
        <v>1</v>
      </c>
      <c r="F71">
        <v>0</v>
      </c>
      <c r="G71">
        <v>0.05</v>
      </c>
      <c r="H71">
        <f>VLOOKUP(C71,WHO_region_parameters!$A$2:$C$7,2,FALSE)</f>
        <v>7.0000000000000001E-3</v>
      </c>
      <c r="I71">
        <f>VLOOKUP(C71,WHO_region_parameters!$A$2:$C$7,3,FALSE)</f>
        <v>3.0999999999999999E-3</v>
      </c>
      <c r="J71">
        <v>0.3</v>
      </c>
      <c r="K71">
        <v>0.6</v>
      </c>
      <c r="L71">
        <v>1999</v>
      </c>
      <c r="M71">
        <v>0.5</v>
      </c>
      <c r="N71">
        <v>0.35310000000000002</v>
      </c>
      <c r="O71">
        <f>VLOOKUP(C71,WHO_region_parameters!$A$2:$D$7,4,FALSE)*Dx_infacilitytesting_acceptability</f>
        <v>0.426962734427077</v>
      </c>
    </row>
    <row r="72" spans="1:15" x14ac:dyDescent="0.35">
      <c r="A72" t="s">
        <v>222</v>
      </c>
      <c r="B72" t="s">
        <v>223</v>
      </c>
      <c r="C72" t="s">
        <v>98</v>
      </c>
      <c r="D72">
        <v>0</v>
      </c>
      <c r="E72">
        <v>1</v>
      </c>
      <c r="F72">
        <v>0</v>
      </c>
      <c r="G72">
        <v>0.05</v>
      </c>
      <c r="H72">
        <f>VLOOKUP(C72,WHO_region_parameters!$A$2:$C$7,2,FALSE)</f>
        <v>0.01</v>
      </c>
      <c r="I72">
        <f>VLOOKUP(C72,WHO_region_parameters!$A$2:$C$7,3,FALSE)</f>
        <v>0</v>
      </c>
      <c r="J72">
        <v>0.3</v>
      </c>
      <c r="K72">
        <v>0.6</v>
      </c>
      <c r="L72">
        <v>2003</v>
      </c>
      <c r="M72">
        <v>0.5</v>
      </c>
      <c r="N72">
        <v>0.26722000000000001</v>
      </c>
      <c r="O72">
        <f>VLOOKUP(C72,WHO_region_parameters!$A$2:$D$7,4,FALSE)*Dx_infacilitytesting_acceptability</f>
        <v>0.35465693889566102</v>
      </c>
    </row>
    <row r="73" spans="1:15" x14ac:dyDescent="0.35">
      <c r="A73" t="s">
        <v>224</v>
      </c>
      <c r="B73" t="s">
        <v>225</v>
      </c>
      <c r="C73" t="s">
        <v>79</v>
      </c>
      <c r="D73">
        <v>0</v>
      </c>
      <c r="E73">
        <v>1</v>
      </c>
      <c r="F73">
        <v>0</v>
      </c>
      <c r="G73">
        <v>0.05</v>
      </c>
      <c r="H73">
        <f>VLOOKUP(C73,WHO_region_parameters!$A$2:$C$7,2,FALSE)</f>
        <v>4.0000000000000001E-3</v>
      </c>
      <c r="I73">
        <f>VLOOKUP(C73,WHO_region_parameters!$A$2:$C$7,3,FALSE)</f>
        <v>1.2500000000000001E-2</v>
      </c>
      <c r="J73">
        <v>0.3</v>
      </c>
      <c r="K73">
        <v>0.6</v>
      </c>
      <c r="L73">
        <v>2003</v>
      </c>
      <c r="M73">
        <v>0.5</v>
      </c>
      <c r="N73">
        <v>0.10917</v>
      </c>
      <c r="O73">
        <f>VLOOKUP(C73,WHO_region_parameters!$A$2:$D$7,4,FALSE)*Dx_infacilitytesting_acceptability</f>
        <v>0.34718290865108348</v>
      </c>
    </row>
    <row r="74" spans="1:15" x14ac:dyDescent="0.35">
      <c r="A74" t="s">
        <v>226</v>
      </c>
      <c r="B74" t="s">
        <v>227</v>
      </c>
      <c r="C74" t="s">
        <v>105</v>
      </c>
      <c r="D74">
        <v>0</v>
      </c>
      <c r="E74">
        <v>1</v>
      </c>
      <c r="F74">
        <v>0</v>
      </c>
      <c r="G74">
        <v>0.05</v>
      </c>
      <c r="H74">
        <f>VLOOKUP(C74,WHO_region_parameters!$A$2:$C$7,2,FALSE)</f>
        <v>7.0000000000000001E-3</v>
      </c>
      <c r="I74">
        <f>VLOOKUP(C74,WHO_region_parameters!$A$2:$C$7,3,FALSE)</f>
        <v>3.0999999999999999E-3</v>
      </c>
      <c r="J74">
        <v>0.3</v>
      </c>
      <c r="K74">
        <v>0.6</v>
      </c>
      <c r="L74">
        <v>1997</v>
      </c>
      <c r="M74">
        <v>0.5</v>
      </c>
      <c r="N74">
        <v>0.2601</v>
      </c>
      <c r="O74">
        <f>VLOOKUP(C74,WHO_region_parameters!$A$2:$D$7,4,FALSE)*Dx_infacilitytesting_acceptability</f>
        <v>0.426962734427077</v>
      </c>
    </row>
    <row r="75" spans="1:15" x14ac:dyDescent="0.35">
      <c r="A75" t="s">
        <v>228</v>
      </c>
      <c r="B75" t="s">
        <v>229</v>
      </c>
      <c r="C75" t="s">
        <v>114</v>
      </c>
      <c r="D75">
        <v>0</v>
      </c>
      <c r="E75">
        <v>1</v>
      </c>
      <c r="F75">
        <v>0</v>
      </c>
      <c r="G75">
        <v>0.05</v>
      </c>
      <c r="H75">
        <f>VLOOKUP(C75,WHO_region_parameters!$A$2:$C$7,2,FALSE)</f>
        <v>1.6E-2</v>
      </c>
      <c r="I75">
        <f>VLOOKUP(C75,WHO_region_parameters!$A$2:$C$7,3,FALSE)</f>
        <v>3.8E-3</v>
      </c>
      <c r="J75">
        <v>0.3</v>
      </c>
      <c r="K75">
        <v>0.6</v>
      </c>
      <c r="L75">
        <v>1995</v>
      </c>
      <c r="M75">
        <v>0.5</v>
      </c>
      <c r="N75">
        <v>0.14777999999999999</v>
      </c>
      <c r="O75">
        <f>VLOOKUP(C75,WHO_region_parameters!$A$2:$D$7,4,FALSE)*Dx_infacilitytesting_acceptability</f>
        <v>0.28018755337085549</v>
      </c>
    </row>
    <row r="76" spans="1:15" x14ac:dyDescent="0.35">
      <c r="A76" t="s">
        <v>230</v>
      </c>
      <c r="B76" t="s">
        <v>231</v>
      </c>
      <c r="C76" t="s">
        <v>114</v>
      </c>
      <c r="D76">
        <v>0</v>
      </c>
      <c r="E76">
        <v>1</v>
      </c>
      <c r="F76">
        <v>0</v>
      </c>
      <c r="G76">
        <v>0.05</v>
      </c>
      <c r="H76">
        <f>VLOOKUP(C76,WHO_region_parameters!$A$2:$C$7,2,FALSE)</f>
        <v>1.6E-2</v>
      </c>
      <c r="I76">
        <f>VLOOKUP(C76,WHO_region_parameters!$A$2:$C$7,3,FALSE)</f>
        <v>3.8E-3</v>
      </c>
      <c r="J76">
        <v>0.3</v>
      </c>
      <c r="K76">
        <v>0.6</v>
      </c>
      <c r="L76">
        <v>1990</v>
      </c>
      <c r="M76">
        <v>0.5</v>
      </c>
      <c r="N76">
        <v>0.52139999999999997</v>
      </c>
      <c r="O76">
        <f>VLOOKUP(C76,WHO_region_parameters!$A$2:$D$7,4,FALSE)*Dx_infacilitytesting_acceptability</f>
        <v>0.28018755337085549</v>
      </c>
    </row>
    <row r="77" spans="1:15" x14ac:dyDescent="0.35">
      <c r="A77" t="s">
        <v>232</v>
      </c>
      <c r="B77" t="s">
        <v>233</v>
      </c>
      <c r="C77" t="s">
        <v>98</v>
      </c>
      <c r="D77">
        <v>0</v>
      </c>
      <c r="E77">
        <v>1</v>
      </c>
      <c r="F77">
        <v>0</v>
      </c>
      <c r="G77">
        <v>0.05</v>
      </c>
      <c r="H77">
        <f>VLOOKUP(C77,WHO_region_parameters!$A$2:$C$7,2,FALSE)</f>
        <v>0.01</v>
      </c>
      <c r="I77">
        <f>VLOOKUP(C77,WHO_region_parameters!$A$2:$C$7,3,FALSE)</f>
        <v>0</v>
      </c>
      <c r="J77">
        <v>0.3</v>
      </c>
      <c r="K77">
        <v>0.6</v>
      </c>
      <c r="L77">
        <v>1997</v>
      </c>
      <c r="M77">
        <v>0.5</v>
      </c>
      <c r="N77">
        <v>0.13516</v>
      </c>
      <c r="O77">
        <f>VLOOKUP(C77,WHO_region_parameters!$A$2:$D$7,4,FALSE)*Dx_infacilitytesting_acceptability</f>
        <v>0.35465693889566102</v>
      </c>
    </row>
    <row r="78" spans="1:15" x14ac:dyDescent="0.35">
      <c r="A78" t="s">
        <v>234</v>
      </c>
      <c r="B78" t="s">
        <v>235</v>
      </c>
      <c r="C78" t="s">
        <v>105</v>
      </c>
      <c r="D78">
        <v>0</v>
      </c>
      <c r="E78" s="8">
        <v>0</v>
      </c>
      <c r="F78">
        <v>0</v>
      </c>
      <c r="G78">
        <v>0.05</v>
      </c>
      <c r="H78">
        <f>VLOOKUP(C78,WHO_region_parameters!$A$2:$C$7,2,FALSE)</f>
        <v>7.0000000000000001E-3</v>
      </c>
      <c r="I78">
        <f>VLOOKUP(C78,WHO_region_parameters!$A$2:$C$7,3,FALSE)</f>
        <v>3.0999999999999999E-3</v>
      </c>
      <c r="J78">
        <v>0.3</v>
      </c>
      <c r="K78">
        <v>0.6</v>
      </c>
      <c r="L78">
        <v>2003</v>
      </c>
      <c r="M78">
        <v>0.5</v>
      </c>
      <c r="N78">
        <v>0.39335999999999999</v>
      </c>
      <c r="O78">
        <f>VLOOKUP(C78,WHO_region_parameters!$A$2:$D$7,4,FALSE)*Dx_infacilitytesting_acceptability</f>
        <v>0.426962734427077</v>
      </c>
    </row>
    <row r="79" spans="1:15" x14ac:dyDescent="0.35">
      <c r="A79" t="s">
        <v>236</v>
      </c>
      <c r="B79" t="s">
        <v>237</v>
      </c>
      <c r="C79" t="s">
        <v>82</v>
      </c>
      <c r="D79">
        <v>0</v>
      </c>
      <c r="E79">
        <v>1</v>
      </c>
      <c r="F79">
        <v>0</v>
      </c>
      <c r="G79">
        <v>0.05</v>
      </c>
      <c r="H79">
        <f>VLOOKUP(C79,WHO_region_parameters!$A$2:$C$7,2,FALSE)</f>
        <v>4.0000000000000001E-3</v>
      </c>
      <c r="I79">
        <f>VLOOKUP(C79,WHO_region_parameters!$A$2:$C$7,3,FALSE)</f>
        <v>0</v>
      </c>
      <c r="J79">
        <v>0.3</v>
      </c>
      <c r="K79">
        <v>0.6</v>
      </c>
      <c r="L79">
        <v>2002</v>
      </c>
      <c r="M79">
        <v>0.5</v>
      </c>
      <c r="N79">
        <v>5.9370000000000006E-2</v>
      </c>
      <c r="O79">
        <f>VLOOKUP(C79,WHO_region_parameters!$A$2:$D$7,4,FALSE)*Dx_infacilitytesting_acceptability</f>
        <v>0.26594516366578902</v>
      </c>
    </row>
    <row r="80" spans="1:15" x14ac:dyDescent="0.35">
      <c r="A80" t="s">
        <v>238</v>
      </c>
      <c r="B80" t="s">
        <v>239</v>
      </c>
      <c r="C80" t="s">
        <v>79</v>
      </c>
      <c r="D80">
        <v>0</v>
      </c>
      <c r="E80">
        <v>1</v>
      </c>
      <c r="F80">
        <v>0</v>
      </c>
      <c r="G80">
        <v>0.05</v>
      </c>
      <c r="H80">
        <f>VLOOKUP(C80,WHO_region_parameters!$A$2:$C$7,2,FALSE)</f>
        <v>4.0000000000000001E-3</v>
      </c>
      <c r="I80">
        <f>VLOOKUP(C80,WHO_region_parameters!$A$2:$C$7,3,FALSE)</f>
        <v>1.2500000000000001E-2</v>
      </c>
      <c r="J80">
        <v>0.3</v>
      </c>
      <c r="K80">
        <v>0.6</v>
      </c>
      <c r="L80">
        <v>2005</v>
      </c>
      <c r="M80">
        <v>0.5</v>
      </c>
      <c r="N80">
        <v>0.25389</v>
      </c>
      <c r="O80">
        <f>VLOOKUP(C80,WHO_region_parameters!$A$2:$D$7,4,FALSE)*Dx_infacilitytesting_acceptability</f>
        <v>0.34718290865108348</v>
      </c>
    </row>
    <row r="81" spans="1:15" x14ac:dyDescent="0.35">
      <c r="A81" t="s">
        <v>240</v>
      </c>
      <c r="B81" t="s">
        <v>241</v>
      </c>
      <c r="C81" t="s">
        <v>82</v>
      </c>
      <c r="D81">
        <v>0</v>
      </c>
      <c r="E81">
        <v>1</v>
      </c>
      <c r="F81">
        <v>0</v>
      </c>
      <c r="G81">
        <v>0.05</v>
      </c>
      <c r="H81">
        <f>VLOOKUP(C81,WHO_region_parameters!$A$2:$C$7,2,FALSE)</f>
        <v>4.0000000000000001E-3</v>
      </c>
      <c r="I81">
        <f>VLOOKUP(C81,WHO_region_parameters!$A$2:$C$7,3,FALSE)</f>
        <v>0</v>
      </c>
      <c r="J81">
        <v>0.3</v>
      </c>
      <c r="K81">
        <v>0.6</v>
      </c>
      <c r="L81">
        <v>2004</v>
      </c>
      <c r="M81">
        <v>0.5</v>
      </c>
      <c r="N81">
        <v>0.28386</v>
      </c>
      <c r="O81">
        <f>VLOOKUP(C81,WHO_region_parameters!$A$2:$D$7,4,FALSE)*Dx_infacilitytesting_acceptability</f>
        <v>0.26594516366578902</v>
      </c>
    </row>
    <row r="82" spans="1:15" x14ac:dyDescent="0.35">
      <c r="A82" t="s">
        <v>242</v>
      </c>
      <c r="B82" t="s">
        <v>243</v>
      </c>
      <c r="C82" t="s">
        <v>114</v>
      </c>
      <c r="D82">
        <v>0</v>
      </c>
      <c r="E82">
        <v>1</v>
      </c>
      <c r="F82">
        <v>0</v>
      </c>
      <c r="G82">
        <v>0.05</v>
      </c>
      <c r="H82">
        <f>VLOOKUP(C82,WHO_region_parameters!$A$2:$C$7,2,FALSE)</f>
        <v>1.6E-2</v>
      </c>
      <c r="I82">
        <f>VLOOKUP(C82,WHO_region_parameters!$A$2:$C$7,3,FALSE)</f>
        <v>3.8E-3</v>
      </c>
      <c r="J82">
        <v>0.3</v>
      </c>
      <c r="K82">
        <v>0.6</v>
      </c>
      <c r="L82">
        <v>1993</v>
      </c>
      <c r="M82">
        <v>0.5</v>
      </c>
      <c r="N82">
        <v>0.75946999999999998</v>
      </c>
      <c r="O82">
        <f>VLOOKUP(C82,WHO_region_parameters!$A$2:$D$7,4,FALSE)*Dx_infacilitytesting_acceptability</f>
        <v>0.28018755337085549</v>
      </c>
    </row>
    <row r="83" spans="1:15" x14ac:dyDescent="0.35">
      <c r="A83" t="s">
        <v>244</v>
      </c>
      <c r="B83" t="s">
        <v>245</v>
      </c>
      <c r="C83" t="s">
        <v>82</v>
      </c>
      <c r="D83">
        <v>0</v>
      </c>
      <c r="E83">
        <v>1</v>
      </c>
      <c r="F83">
        <v>0</v>
      </c>
      <c r="G83">
        <v>0.05</v>
      </c>
      <c r="H83">
        <f>VLOOKUP(C83,WHO_region_parameters!$A$2:$C$7,2,FALSE)</f>
        <v>4.0000000000000001E-3</v>
      </c>
      <c r="I83">
        <f>VLOOKUP(C83,WHO_region_parameters!$A$2:$C$7,3,FALSE)</f>
        <v>0</v>
      </c>
      <c r="J83">
        <v>0.3</v>
      </c>
      <c r="K83">
        <v>0.6</v>
      </c>
      <c r="L83">
        <v>2007</v>
      </c>
      <c r="M83">
        <v>0.5</v>
      </c>
      <c r="N83">
        <v>0.42259000000000002</v>
      </c>
      <c r="O83">
        <f>VLOOKUP(C83,WHO_region_parameters!$A$2:$D$7,4,FALSE)*Dx_infacilitytesting_acceptability</f>
        <v>0.26594516366578902</v>
      </c>
    </row>
    <row r="84" spans="1:15" x14ac:dyDescent="0.35">
      <c r="A84" t="s">
        <v>246</v>
      </c>
      <c r="B84" t="s">
        <v>247</v>
      </c>
      <c r="C84" t="s">
        <v>105</v>
      </c>
      <c r="D84">
        <v>0</v>
      </c>
      <c r="E84">
        <v>1</v>
      </c>
      <c r="F84">
        <v>0</v>
      </c>
      <c r="G84">
        <v>0.05</v>
      </c>
      <c r="H84">
        <f>VLOOKUP(C84,WHO_region_parameters!$A$2:$C$7,2,FALSE)</f>
        <v>7.0000000000000001E-3</v>
      </c>
      <c r="I84">
        <f>VLOOKUP(C84,WHO_region_parameters!$A$2:$C$7,3,FALSE)</f>
        <v>3.0999999999999999E-3</v>
      </c>
      <c r="J84">
        <v>0.3</v>
      </c>
      <c r="K84">
        <v>0.6</v>
      </c>
      <c r="L84">
        <v>1999</v>
      </c>
      <c r="M84">
        <v>0.5</v>
      </c>
      <c r="N84">
        <v>0.23346</v>
      </c>
      <c r="O84">
        <f>VLOOKUP(C84,WHO_region_parameters!$A$2:$D$7,4,FALSE)*Dx_infacilitytesting_acceptability</f>
        <v>0.426962734427077</v>
      </c>
    </row>
    <row r="85" spans="1:15" x14ac:dyDescent="0.35">
      <c r="A85" t="s">
        <v>248</v>
      </c>
      <c r="B85" t="s">
        <v>249</v>
      </c>
      <c r="C85" t="s">
        <v>79</v>
      </c>
      <c r="D85">
        <v>0</v>
      </c>
      <c r="E85">
        <v>1</v>
      </c>
      <c r="F85">
        <v>0</v>
      </c>
      <c r="G85">
        <v>0.05</v>
      </c>
      <c r="H85">
        <f>VLOOKUP(C85,WHO_region_parameters!$A$2:$C$7,2,FALSE)</f>
        <v>4.0000000000000001E-3</v>
      </c>
      <c r="I85">
        <f>VLOOKUP(C85,WHO_region_parameters!$A$2:$C$7,3,FALSE)</f>
        <v>1.2500000000000001E-2</v>
      </c>
      <c r="J85">
        <v>0.3</v>
      </c>
      <c r="K85">
        <v>0.6</v>
      </c>
      <c r="L85">
        <v>2013</v>
      </c>
      <c r="M85">
        <v>0.5</v>
      </c>
      <c r="N85">
        <v>0.17359000000000002</v>
      </c>
      <c r="O85">
        <f>VLOOKUP(C85,WHO_region_parameters!$A$2:$D$7,4,FALSE)*Dx_infacilitytesting_acceptability</f>
        <v>0.34718290865108348</v>
      </c>
    </row>
    <row r="86" spans="1:15" x14ac:dyDescent="0.35">
      <c r="A86" t="s">
        <v>250</v>
      </c>
      <c r="B86" t="s">
        <v>251</v>
      </c>
      <c r="C86" t="s">
        <v>85</v>
      </c>
      <c r="D86">
        <v>0</v>
      </c>
      <c r="E86">
        <v>1</v>
      </c>
      <c r="F86">
        <v>0</v>
      </c>
      <c r="G86">
        <v>0.05</v>
      </c>
      <c r="H86">
        <f>VLOOKUP(C86,WHO_region_parameters!$A$2:$C$7,2,FALSE)</f>
        <v>1.4999999999999999E-2</v>
      </c>
      <c r="I86">
        <f>VLOOKUP(C86,WHO_region_parameters!$A$2:$C$7,3,FALSE)</f>
        <v>1.2699999999999999E-2</v>
      </c>
      <c r="J86">
        <v>0.3</v>
      </c>
      <c r="K86">
        <v>0.6</v>
      </c>
      <c r="L86">
        <v>2004</v>
      </c>
      <c r="M86">
        <v>0.5</v>
      </c>
      <c r="N86">
        <v>0.34262999999999999</v>
      </c>
      <c r="O86">
        <f>VLOOKUP(C86,WHO_region_parameters!$A$2:$D$7,4,FALSE)*Dx_infacilitytesting_acceptability</f>
        <v>0.42042078352794848</v>
      </c>
    </row>
    <row r="87" spans="1:15" x14ac:dyDescent="0.35">
      <c r="A87" t="s">
        <v>252</v>
      </c>
      <c r="B87" t="s">
        <v>253</v>
      </c>
      <c r="C87" t="s">
        <v>82</v>
      </c>
      <c r="D87">
        <v>0</v>
      </c>
      <c r="E87">
        <v>1</v>
      </c>
      <c r="F87">
        <v>0</v>
      </c>
      <c r="G87">
        <v>0.05</v>
      </c>
      <c r="H87">
        <f>VLOOKUP(C87,WHO_region_parameters!$A$2:$C$7,2,FALSE)</f>
        <v>4.0000000000000001E-3</v>
      </c>
      <c r="I87">
        <f>VLOOKUP(C87,WHO_region_parameters!$A$2:$C$7,3,FALSE)</f>
        <v>0</v>
      </c>
      <c r="J87">
        <v>0.3</v>
      </c>
      <c r="K87">
        <v>0.6</v>
      </c>
      <c r="L87">
        <v>2015</v>
      </c>
      <c r="M87">
        <v>0.5</v>
      </c>
      <c r="N87">
        <v>0.34630000000000005</v>
      </c>
      <c r="O87">
        <f>VLOOKUP(C87,WHO_region_parameters!$A$2:$D$7,4,FALSE)*Dx_infacilitytesting_acceptability</f>
        <v>0.26594516366578902</v>
      </c>
    </row>
    <row r="88" spans="1:15" x14ac:dyDescent="0.35">
      <c r="A88" t="s">
        <v>254</v>
      </c>
      <c r="B88" t="s">
        <v>255</v>
      </c>
      <c r="C88" t="s">
        <v>82</v>
      </c>
      <c r="D88">
        <v>0</v>
      </c>
      <c r="E88">
        <v>1</v>
      </c>
      <c r="F88">
        <v>0</v>
      </c>
      <c r="G88">
        <v>0.05</v>
      </c>
      <c r="H88">
        <f>VLOOKUP(C88,WHO_region_parameters!$A$2:$C$7,2,FALSE)</f>
        <v>4.0000000000000001E-3</v>
      </c>
      <c r="I88">
        <f>VLOOKUP(C88,WHO_region_parameters!$A$2:$C$7,3,FALSE)</f>
        <v>0</v>
      </c>
      <c r="J88">
        <v>0.3</v>
      </c>
      <c r="K88">
        <v>0.6</v>
      </c>
      <c r="L88">
        <v>2003</v>
      </c>
      <c r="M88">
        <v>0.5</v>
      </c>
      <c r="N88">
        <v>0.1583</v>
      </c>
      <c r="O88">
        <f>VLOOKUP(C88,WHO_region_parameters!$A$2:$D$7,4,FALSE)*Dx_infacilitytesting_acceptability</f>
        <v>0.26594516366578902</v>
      </c>
    </row>
    <row r="89" spans="1:15" x14ac:dyDescent="0.35">
      <c r="A89" t="s">
        <v>256</v>
      </c>
      <c r="B89" t="s">
        <v>257</v>
      </c>
      <c r="C89" t="s">
        <v>82</v>
      </c>
      <c r="D89">
        <v>0</v>
      </c>
      <c r="E89" s="8">
        <v>0</v>
      </c>
      <c r="F89">
        <v>0</v>
      </c>
      <c r="G89">
        <v>0.05</v>
      </c>
      <c r="H89">
        <f>VLOOKUP(C89,WHO_region_parameters!$A$2:$C$7,2,FALSE)</f>
        <v>4.0000000000000001E-3</v>
      </c>
      <c r="I89">
        <f>VLOOKUP(C89,WHO_region_parameters!$A$2:$C$7,3,FALSE)</f>
        <v>0</v>
      </c>
      <c r="J89">
        <v>0.3</v>
      </c>
      <c r="K89">
        <v>0.6</v>
      </c>
      <c r="L89">
        <v>1996</v>
      </c>
      <c r="M89">
        <v>0.5</v>
      </c>
      <c r="N89">
        <v>0.75540999999999991</v>
      </c>
      <c r="O89">
        <f>VLOOKUP(C89,WHO_region_parameters!$A$2:$D$7,4,FALSE)*Dx_infacilitytesting_acceptability</f>
        <v>0.26594516366578902</v>
      </c>
    </row>
    <row r="90" spans="1:15" x14ac:dyDescent="0.35">
      <c r="A90" t="s">
        <v>258</v>
      </c>
      <c r="B90" t="s">
        <v>259</v>
      </c>
      <c r="C90" t="s">
        <v>79</v>
      </c>
      <c r="D90">
        <v>0</v>
      </c>
      <c r="E90">
        <v>1</v>
      </c>
      <c r="F90">
        <v>0</v>
      </c>
      <c r="G90">
        <v>0.05</v>
      </c>
      <c r="H90">
        <f>VLOOKUP(C90,WHO_region_parameters!$A$2:$C$7,2,FALSE)</f>
        <v>4.0000000000000001E-3</v>
      </c>
      <c r="I90">
        <f>VLOOKUP(C90,WHO_region_parameters!$A$2:$C$7,3,FALSE)</f>
        <v>1.2500000000000001E-2</v>
      </c>
      <c r="J90">
        <v>0.3</v>
      </c>
      <c r="K90">
        <v>0.6</v>
      </c>
      <c r="L90">
        <v>1992</v>
      </c>
      <c r="M90">
        <v>0.5</v>
      </c>
      <c r="N90">
        <v>0.18178</v>
      </c>
      <c r="O90">
        <f>VLOOKUP(C90,WHO_region_parameters!$A$2:$D$7,4,FALSE)*Dx_infacilitytesting_acceptability</f>
        <v>0.34718290865108348</v>
      </c>
    </row>
    <row r="91" spans="1:15" x14ac:dyDescent="0.35">
      <c r="A91" t="s">
        <v>260</v>
      </c>
      <c r="B91" t="s">
        <v>261</v>
      </c>
      <c r="C91" t="s">
        <v>82</v>
      </c>
      <c r="D91">
        <v>0</v>
      </c>
      <c r="E91">
        <v>1</v>
      </c>
      <c r="F91">
        <v>0</v>
      </c>
      <c r="G91">
        <v>0.05</v>
      </c>
      <c r="H91">
        <f>VLOOKUP(C91,WHO_region_parameters!$A$2:$C$7,2,FALSE)</f>
        <v>4.0000000000000001E-3</v>
      </c>
      <c r="I91">
        <f>VLOOKUP(C91,WHO_region_parameters!$A$2:$C$7,3,FALSE)</f>
        <v>0</v>
      </c>
      <c r="J91">
        <v>0.3</v>
      </c>
      <c r="K91">
        <v>0.6</v>
      </c>
      <c r="L91">
        <v>2008</v>
      </c>
      <c r="M91">
        <v>0.5</v>
      </c>
      <c r="N91">
        <v>0.47659000000000001</v>
      </c>
      <c r="O91">
        <f>VLOOKUP(C91,WHO_region_parameters!$A$2:$D$7,4,FALSE)*Dx_infacilitytesting_acceptability</f>
        <v>0.26594516366578902</v>
      </c>
    </row>
    <row r="92" spans="1:15" x14ac:dyDescent="0.35">
      <c r="A92" t="s">
        <v>262</v>
      </c>
      <c r="B92" t="s">
        <v>263</v>
      </c>
      <c r="C92" t="s">
        <v>82</v>
      </c>
      <c r="D92">
        <v>0</v>
      </c>
      <c r="E92">
        <v>1</v>
      </c>
      <c r="F92">
        <v>0</v>
      </c>
      <c r="G92">
        <v>0.05</v>
      </c>
      <c r="H92">
        <f>VLOOKUP(C92,WHO_region_parameters!$A$2:$C$7,2,FALSE)</f>
        <v>4.0000000000000001E-3</v>
      </c>
      <c r="I92">
        <f>VLOOKUP(C92,WHO_region_parameters!$A$2:$C$7,3,FALSE)</f>
        <v>0</v>
      </c>
      <c r="J92">
        <v>0.3</v>
      </c>
      <c r="K92">
        <v>0.6</v>
      </c>
      <c r="L92">
        <v>2008</v>
      </c>
      <c r="M92">
        <v>0.5</v>
      </c>
      <c r="N92">
        <v>0.2661</v>
      </c>
      <c r="O92">
        <f>VLOOKUP(C92,WHO_region_parameters!$A$2:$D$7,4,FALSE)*Dx_infacilitytesting_acceptability</f>
        <v>0.26594516366578902</v>
      </c>
    </row>
    <row r="93" spans="1:15" x14ac:dyDescent="0.35">
      <c r="A93" t="s">
        <v>264</v>
      </c>
      <c r="B93" t="s">
        <v>265</v>
      </c>
      <c r="C93" t="s">
        <v>98</v>
      </c>
      <c r="D93">
        <v>0</v>
      </c>
      <c r="E93">
        <v>1</v>
      </c>
      <c r="F93">
        <v>0</v>
      </c>
      <c r="G93">
        <v>0.41</v>
      </c>
      <c r="H93">
        <f>VLOOKUP(C93,WHO_region_parameters!$A$2:$C$7,2,FALSE)</f>
        <v>0.01</v>
      </c>
      <c r="I93">
        <f>VLOOKUP(C93,WHO_region_parameters!$A$2:$C$7,3,FALSE)</f>
        <v>0</v>
      </c>
      <c r="J93">
        <v>0.3</v>
      </c>
      <c r="K93">
        <v>0.6</v>
      </c>
      <c r="L93">
        <v>1992</v>
      </c>
      <c r="M93">
        <v>0.5</v>
      </c>
      <c r="N93">
        <v>0.37689</v>
      </c>
      <c r="O93">
        <f>VLOOKUP(C93,WHO_region_parameters!$A$2:$D$7,4,FALSE)*Dx_infacilitytesting_acceptability</f>
        <v>0.35465693889566102</v>
      </c>
    </row>
    <row r="94" spans="1:15" x14ac:dyDescent="0.35">
      <c r="A94" t="s">
        <v>266</v>
      </c>
      <c r="B94" t="s">
        <v>267</v>
      </c>
      <c r="C94" t="s">
        <v>85</v>
      </c>
      <c r="D94">
        <v>0</v>
      </c>
      <c r="E94">
        <v>1</v>
      </c>
      <c r="F94">
        <v>0</v>
      </c>
      <c r="G94">
        <v>0.05</v>
      </c>
      <c r="H94">
        <f>VLOOKUP(C94,WHO_region_parameters!$A$2:$C$7,2,FALSE)</f>
        <v>1.4999999999999999E-2</v>
      </c>
      <c r="I94">
        <f>VLOOKUP(C94,WHO_region_parameters!$A$2:$C$7,3,FALSE)</f>
        <v>1.2699999999999999E-2</v>
      </c>
      <c r="J94">
        <v>0.3</v>
      </c>
      <c r="K94">
        <v>0.6</v>
      </c>
      <c r="L94">
        <v>2002</v>
      </c>
      <c r="M94">
        <v>0.5</v>
      </c>
      <c r="N94">
        <v>0.15498000000000001</v>
      </c>
      <c r="O94">
        <f>VLOOKUP(C94,WHO_region_parameters!$A$2:$D$7,4,FALSE)*Dx_infacilitytesting_acceptability</f>
        <v>0.42042078352794848</v>
      </c>
    </row>
    <row r="95" spans="1:15" x14ac:dyDescent="0.35">
      <c r="A95" t="s">
        <v>268</v>
      </c>
      <c r="B95" t="s">
        <v>269</v>
      </c>
      <c r="C95" t="s">
        <v>85</v>
      </c>
      <c r="D95">
        <v>0</v>
      </c>
      <c r="E95">
        <v>1</v>
      </c>
      <c r="F95">
        <v>0</v>
      </c>
      <c r="G95">
        <v>0.05</v>
      </c>
      <c r="H95">
        <f>VLOOKUP(C95,WHO_region_parameters!$A$2:$C$7,2,FALSE)</f>
        <v>1.4999999999999999E-2</v>
      </c>
      <c r="I95">
        <f>VLOOKUP(C95,WHO_region_parameters!$A$2:$C$7,3,FALSE)</f>
        <v>1.2699999999999999E-2</v>
      </c>
      <c r="J95">
        <v>0.3</v>
      </c>
      <c r="K95">
        <v>0.6</v>
      </c>
      <c r="L95">
        <v>2002</v>
      </c>
      <c r="M95">
        <v>0.5</v>
      </c>
      <c r="N95">
        <v>0.21737999999999999</v>
      </c>
      <c r="O95">
        <f>VLOOKUP(C95,WHO_region_parameters!$A$2:$D$7,4,FALSE)*Dx_infacilitytesting_acceptability</f>
        <v>0.42042078352794848</v>
      </c>
    </row>
    <row r="96" spans="1:15" x14ac:dyDescent="0.35">
      <c r="A96" t="s">
        <v>270</v>
      </c>
      <c r="B96" t="s">
        <v>271</v>
      </c>
      <c r="C96" t="s">
        <v>98</v>
      </c>
      <c r="D96">
        <v>0</v>
      </c>
      <c r="E96">
        <v>1</v>
      </c>
      <c r="F96">
        <v>0</v>
      </c>
      <c r="G96">
        <v>0.05</v>
      </c>
      <c r="H96">
        <f>VLOOKUP(C96,WHO_region_parameters!$A$2:$C$7,2,FALSE)</f>
        <v>0.01</v>
      </c>
      <c r="I96">
        <f>VLOOKUP(C96,WHO_region_parameters!$A$2:$C$7,3,FALSE)</f>
        <v>0</v>
      </c>
      <c r="J96">
        <v>0.3</v>
      </c>
      <c r="K96">
        <v>0.6</v>
      </c>
      <c r="L96">
        <v>2008</v>
      </c>
      <c r="M96">
        <v>0.5</v>
      </c>
      <c r="N96">
        <v>0.48857</v>
      </c>
      <c r="O96">
        <f>VLOOKUP(C96,WHO_region_parameters!$A$2:$D$7,4,FALSE)*Dx_infacilitytesting_acceptability</f>
        <v>0.35465693889566102</v>
      </c>
    </row>
    <row r="97" spans="1:15" x14ac:dyDescent="0.35">
      <c r="A97" t="s">
        <v>272</v>
      </c>
      <c r="B97" t="s">
        <v>273</v>
      </c>
      <c r="C97" t="s">
        <v>114</v>
      </c>
      <c r="D97">
        <v>0</v>
      </c>
      <c r="E97">
        <v>1</v>
      </c>
      <c r="F97">
        <v>0</v>
      </c>
      <c r="G97">
        <v>0.05</v>
      </c>
      <c r="H97">
        <f>VLOOKUP(C97,WHO_region_parameters!$A$2:$C$7,2,FALSE)</f>
        <v>1.6E-2</v>
      </c>
      <c r="I97">
        <f>VLOOKUP(C97,WHO_region_parameters!$A$2:$C$7,3,FALSE)</f>
        <v>3.8E-3</v>
      </c>
      <c r="J97">
        <v>0.3</v>
      </c>
      <c r="K97">
        <v>0.6</v>
      </c>
      <c r="L97">
        <v>1990</v>
      </c>
      <c r="M97">
        <v>0.5</v>
      </c>
      <c r="N97">
        <v>0.39138000000000001</v>
      </c>
      <c r="O97">
        <f>VLOOKUP(C97,WHO_region_parameters!$A$2:$D$7,4,FALSE)*Dx_infacilitytesting_acceptability</f>
        <v>0.28018755337085549</v>
      </c>
    </row>
    <row r="98" spans="1:15" x14ac:dyDescent="0.35">
      <c r="A98" t="s">
        <v>274</v>
      </c>
      <c r="B98" t="s">
        <v>275</v>
      </c>
      <c r="C98" t="s">
        <v>79</v>
      </c>
      <c r="D98">
        <v>0</v>
      </c>
      <c r="E98">
        <v>1</v>
      </c>
      <c r="F98">
        <v>0</v>
      </c>
      <c r="G98">
        <v>0.05</v>
      </c>
      <c r="H98">
        <f>VLOOKUP(C98,WHO_region_parameters!$A$2:$C$7,2,FALSE)</f>
        <v>4.0000000000000001E-3</v>
      </c>
      <c r="I98">
        <f>VLOOKUP(C98,WHO_region_parameters!$A$2:$C$7,3,FALSE)</f>
        <v>1.2500000000000001E-2</v>
      </c>
      <c r="J98">
        <v>0.3</v>
      </c>
      <c r="K98">
        <v>0.6</v>
      </c>
      <c r="L98">
        <v>1996</v>
      </c>
      <c r="M98">
        <v>0.5</v>
      </c>
      <c r="N98">
        <v>0.28508</v>
      </c>
      <c r="O98">
        <f>VLOOKUP(C98,WHO_region_parameters!$A$2:$D$7,4,FALSE)*Dx_infacilitytesting_acceptability</f>
        <v>0.34718290865108348</v>
      </c>
    </row>
    <row r="99" spans="1:15" x14ac:dyDescent="0.35">
      <c r="A99" t="s">
        <v>276</v>
      </c>
      <c r="B99" t="s">
        <v>277</v>
      </c>
      <c r="C99" t="s">
        <v>114</v>
      </c>
      <c r="D99">
        <v>0</v>
      </c>
      <c r="E99">
        <v>1</v>
      </c>
      <c r="F99">
        <v>0</v>
      </c>
      <c r="G99">
        <v>0.05</v>
      </c>
      <c r="H99">
        <f>VLOOKUP(C99,WHO_region_parameters!$A$2:$C$7,2,FALSE)</f>
        <v>1.6E-2</v>
      </c>
      <c r="I99">
        <f>VLOOKUP(C99,WHO_region_parameters!$A$2:$C$7,3,FALSE)</f>
        <v>3.8E-3</v>
      </c>
      <c r="J99">
        <v>0.3</v>
      </c>
      <c r="K99">
        <v>0.6</v>
      </c>
      <c r="L99">
        <v>1994</v>
      </c>
      <c r="M99">
        <v>0.5</v>
      </c>
      <c r="N99">
        <v>0.25124999999999997</v>
      </c>
      <c r="O99">
        <f>VLOOKUP(C99,WHO_region_parameters!$A$2:$D$7,4,FALSE)*Dx_infacilitytesting_acceptability</f>
        <v>0.28018755337085549</v>
      </c>
    </row>
    <row r="100" spans="1:15" x14ac:dyDescent="0.35">
      <c r="A100" t="s">
        <v>278</v>
      </c>
      <c r="B100" t="s">
        <v>279</v>
      </c>
      <c r="C100" t="s">
        <v>82</v>
      </c>
      <c r="D100">
        <v>0</v>
      </c>
      <c r="E100">
        <v>1</v>
      </c>
      <c r="F100">
        <v>0</v>
      </c>
      <c r="G100">
        <v>0.05</v>
      </c>
      <c r="H100">
        <f>VLOOKUP(C100,WHO_region_parameters!$A$2:$C$7,2,FALSE)</f>
        <v>4.0000000000000001E-3</v>
      </c>
      <c r="I100">
        <f>VLOOKUP(C100,WHO_region_parameters!$A$2:$C$7,3,FALSE)</f>
        <v>0</v>
      </c>
      <c r="J100">
        <v>0.3</v>
      </c>
      <c r="K100">
        <v>0.6</v>
      </c>
      <c r="L100">
        <v>2002</v>
      </c>
      <c r="M100">
        <v>0.5</v>
      </c>
      <c r="N100">
        <v>0.41238999999999998</v>
      </c>
      <c r="O100">
        <f>VLOOKUP(C100,WHO_region_parameters!$A$2:$D$7,4,FALSE)*Dx_infacilitytesting_acceptability</f>
        <v>0.26594516366578902</v>
      </c>
    </row>
    <row r="101" spans="1:15" x14ac:dyDescent="0.35">
      <c r="A101" t="s">
        <v>280</v>
      </c>
      <c r="B101" t="s">
        <v>281</v>
      </c>
      <c r="C101" t="s">
        <v>82</v>
      </c>
      <c r="D101">
        <v>0</v>
      </c>
      <c r="E101">
        <v>1</v>
      </c>
      <c r="F101">
        <v>0</v>
      </c>
      <c r="G101">
        <v>0.05</v>
      </c>
      <c r="H101">
        <f>VLOOKUP(C101,WHO_region_parameters!$A$2:$C$7,2,FALSE)</f>
        <v>4.0000000000000001E-3</v>
      </c>
      <c r="I101">
        <f>VLOOKUP(C101,WHO_region_parameters!$A$2:$C$7,3,FALSE)</f>
        <v>0</v>
      </c>
      <c r="J101">
        <v>0.3</v>
      </c>
      <c r="K101">
        <v>0.6</v>
      </c>
      <c r="L101">
        <v>2002</v>
      </c>
      <c r="M101">
        <v>0.5</v>
      </c>
      <c r="N101">
        <v>0.23338</v>
      </c>
      <c r="O101">
        <f>VLOOKUP(C101,WHO_region_parameters!$A$2:$D$7,4,FALSE)*Dx_infacilitytesting_acceptability</f>
        <v>0.26594516366578902</v>
      </c>
    </row>
    <row r="102" spans="1:15" x14ac:dyDescent="0.35">
      <c r="A102" t="s">
        <v>282</v>
      </c>
      <c r="B102" t="s">
        <v>283</v>
      </c>
      <c r="C102" t="s">
        <v>85</v>
      </c>
      <c r="D102">
        <v>0</v>
      </c>
      <c r="E102">
        <v>1</v>
      </c>
      <c r="F102">
        <v>0</v>
      </c>
      <c r="G102">
        <v>0.05</v>
      </c>
      <c r="H102">
        <f>VLOOKUP(C102,WHO_region_parameters!$A$2:$C$7,2,FALSE)</f>
        <v>1.4999999999999999E-2</v>
      </c>
      <c r="I102">
        <f>VLOOKUP(C102,WHO_region_parameters!$A$2:$C$7,3,FALSE)</f>
        <v>1.2699999999999999E-2</v>
      </c>
      <c r="J102">
        <v>0.3</v>
      </c>
      <c r="K102">
        <v>0.6</v>
      </c>
      <c r="L102">
        <v>2000</v>
      </c>
      <c r="M102">
        <v>0.5</v>
      </c>
      <c r="N102">
        <v>0.25289</v>
      </c>
      <c r="O102">
        <f>VLOOKUP(C102,WHO_region_parameters!$A$2:$D$7,4,FALSE)*Dx_infacilitytesting_acceptability</f>
        <v>0.42042078352794848</v>
      </c>
    </row>
    <row r="103" spans="1:15" x14ac:dyDescent="0.35">
      <c r="A103" t="s">
        <v>284</v>
      </c>
      <c r="B103" t="s">
        <v>285</v>
      </c>
      <c r="C103" t="s">
        <v>85</v>
      </c>
      <c r="D103">
        <v>0</v>
      </c>
      <c r="E103">
        <v>1</v>
      </c>
      <c r="F103">
        <v>0</v>
      </c>
      <c r="G103">
        <v>0.05</v>
      </c>
      <c r="H103">
        <f>VLOOKUP(C103,WHO_region_parameters!$A$2:$C$7,2,FALSE)</f>
        <v>1.4999999999999999E-2</v>
      </c>
      <c r="I103">
        <f>VLOOKUP(C103,WHO_region_parameters!$A$2:$C$7,3,FALSE)</f>
        <v>1.2699999999999999E-2</v>
      </c>
      <c r="J103">
        <v>0.3</v>
      </c>
      <c r="K103">
        <v>0.6</v>
      </c>
      <c r="L103">
        <v>1999</v>
      </c>
      <c r="M103">
        <v>0.5</v>
      </c>
      <c r="N103">
        <v>0.12848999999999999</v>
      </c>
      <c r="O103">
        <f>VLOOKUP(C103,WHO_region_parameters!$A$2:$D$7,4,FALSE)*Dx_infacilitytesting_acceptability</f>
        <v>0.42042078352794848</v>
      </c>
    </row>
    <row r="104" spans="1:15" x14ac:dyDescent="0.35">
      <c r="A104" t="s">
        <v>286</v>
      </c>
      <c r="B104" t="s">
        <v>287</v>
      </c>
      <c r="C104" t="s">
        <v>105</v>
      </c>
      <c r="D104">
        <v>0</v>
      </c>
      <c r="E104">
        <v>1</v>
      </c>
      <c r="F104">
        <v>0</v>
      </c>
      <c r="G104">
        <v>0.05</v>
      </c>
      <c r="H104">
        <f>VLOOKUP(C104,WHO_region_parameters!$A$2:$C$7,2,FALSE)</f>
        <v>7.0000000000000001E-3</v>
      </c>
      <c r="I104">
        <f>VLOOKUP(C104,WHO_region_parameters!$A$2:$C$7,3,FALSE)</f>
        <v>3.0999999999999999E-3</v>
      </c>
      <c r="J104">
        <v>0.3</v>
      </c>
      <c r="K104">
        <v>0.6</v>
      </c>
      <c r="L104">
        <v>1997</v>
      </c>
      <c r="M104">
        <v>0.5</v>
      </c>
      <c r="N104">
        <v>0.11365</v>
      </c>
      <c r="O104">
        <f>VLOOKUP(C104,WHO_region_parameters!$A$2:$D$7,4,FALSE)*Dx_infacilitytesting_acceptability</f>
        <v>0.426962734427077</v>
      </c>
    </row>
    <row r="105" spans="1:15" x14ac:dyDescent="0.35">
      <c r="A105" t="s">
        <v>288</v>
      </c>
      <c r="B105" t="s">
        <v>289</v>
      </c>
      <c r="C105" t="s">
        <v>114</v>
      </c>
      <c r="D105">
        <v>0</v>
      </c>
      <c r="E105">
        <v>1</v>
      </c>
      <c r="F105">
        <v>0</v>
      </c>
      <c r="G105">
        <v>0.05</v>
      </c>
      <c r="H105">
        <f>VLOOKUP(C105,WHO_region_parameters!$A$2:$C$7,2,FALSE)</f>
        <v>1.6E-2</v>
      </c>
      <c r="I105">
        <f>VLOOKUP(C105,WHO_region_parameters!$A$2:$C$7,3,FALSE)</f>
        <v>3.8E-3</v>
      </c>
      <c r="J105">
        <v>0.3</v>
      </c>
      <c r="K105">
        <v>0.6</v>
      </c>
      <c r="L105">
        <v>1998</v>
      </c>
      <c r="M105">
        <v>0.5</v>
      </c>
      <c r="N105">
        <v>0.12478</v>
      </c>
      <c r="O105">
        <f>VLOOKUP(C105,WHO_region_parameters!$A$2:$D$7,4,FALSE)*Dx_infacilitytesting_acceptability</f>
        <v>0.28018755337085549</v>
      </c>
    </row>
    <row r="106" spans="1:15" x14ac:dyDescent="0.35">
      <c r="A106" t="s">
        <v>290</v>
      </c>
      <c r="B106" t="s">
        <v>291</v>
      </c>
      <c r="C106" t="s">
        <v>114</v>
      </c>
      <c r="D106">
        <v>0</v>
      </c>
      <c r="E106">
        <v>1</v>
      </c>
      <c r="F106">
        <v>0</v>
      </c>
      <c r="G106">
        <v>0.05</v>
      </c>
      <c r="H106">
        <f>VLOOKUP(C106,WHO_region_parameters!$A$2:$C$7,2,FALSE)</f>
        <v>1.6E-2</v>
      </c>
      <c r="I106">
        <f>VLOOKUP(C106,WHO_region_parameters!$A$2:$C$7,3,FALSE)</f>
        <v>3.8E-3</v>
      </c>
      <c r="J106">
        <v>0.3</v>
      </c>
      <c r="K106">
        <v>0.6</v>
      </c>
      <c r="L106">
        <v>1991</v>
      </c>
      <c r="M106">
        <v>0.5</v>
      </c>
      <c r="N106">
        <v>0.69864999999999999</v>
      </c>
      <c r="O106">
        <f>VLOOKUP(C106,WHO_region_parameters!$A$2:$D$7,4,FALSE)*Dx_infacilitytesting_acceptability</f>
        <v>0.28018755337085549</v>
      </c>
    </row>
    <row r="107" spans="1:15" x14ac:dyDescent="0.35">
      <c r="A107" t="s">
        <v>292</v>
      </c>
      <c r="B107" t="s">
        <v>293</v>
      </c>
      <c r="C107" t="s">
        <v>114</v>
      </c>
      <c r="D107">
        <v>0</v>
      </c>
      <c r="E107">
        <v>1</v>
      </c>
      <c r="F107">
        <v>0</v>
      </c>
      <c r="G107">
        <v>0.05</v>
      </c>
      <c r="H107">
        <f>VLOOKUP(C107,WHO_region_parameters!$A$2:$C$7,2,FALSE)</f>
        <v>1.6E-2</v>
      </c>
      <c r="I107">
        <f>VLOOKUP(C107,WHO_region_parameters!$A$2:$C$7,3,FALSE)</f>
        <v>3.8E-3</v>
      </c>
      <c r="J107">
        <v>0.3</v>
      </c>
      <c r="K107">
        <v>0.6</v>
      </c>
      <c r="L107">
        <v>1992</v>
      </c>
      <c r="M107">
        <v>0.5</v>
      </c>
      <c r="N107">
        <v>0.41828000000000004</v>
      </c>
      <c r="O107">
        <f>VLOOKUP(C107,WHO_region_parameters!$A$2:$D$7,4,FALSE)*Dx_infacilitytesting_acceptability</f>
        <v>0.28018755337085549</v>
      </c>
    </row>
    <row r="108" spans="1:15" x14ac:dyDescent="0.35">
      <c r="A108" t="s">
        <v>294</v>
      </c>
      <c r="B108" t="s">
        <v>295</v>
      </c>
      <c r="C108" t="s">
        <v>79</v>
      </c>
      <c r="D108">
        <v>0</v>
      </c>
      <c r="E108">
        <v>1</v>
      </c>
      <c r="F108">
        <v>0</v>
      </c>
      <c r="G108">
        <v>0.05</v>
      </c>
      <c r="H108">
        <f>VLOOKUP(C108,WHO_region_parameters!$A$2:$C$7,2,FALSE)</f>
        <v>4.0000000000000001E-3</v>
      </c>
      <c r="I108">
        <f>VLOOKUP(C108,WHO_region_parameters!$A$2:$C$7,3,FALSE)</f>
        <v>1.2500000000000001E-2</v>
      </c>
      <c r="J108">
        <v>0.3</v>
      </c>
      <c r="K108">
        <v>0.6</v>
      </c>
      <c r="L108">
        <v>1999</v>
      </c>
      <c r="M108">
        <v>0.5</v>
      </c>
      <c r="N108">
        <v>0.15273</v>
      </c>
      <c r="O108">
        <f>VLOOKUP(C108,WHO_region_parameters!$A$2:$D$7,4,FALSE)*Dx_infacilitytesting_acceptability</f>
        <v>0.34718290865108348</v>
      </c>
    </row>
    <row r="109" spans="1:15" x14ac:dyDescent="0.35">
      <c r="A109" t="s">
        <v>296</v>
      </c>
      <c r="B109" t="s">
        <v>297</v>
      </c>
      <c r="C109" t="s">
        <v>82</v>
      </c>
      <c r="D109">
        <v>0</v>
      </c>
      <c r="E109" s="8">
        <v>0</v>
      </c>
      <c r="F109">
        <v>0</v>
      </c>
      <c r="G109">
        <v>0.11</v>
      </c>
      <c r="H109">
        <f>VLOOKUP(C109,WHO_region_parameters!$A$2:$C$7,2,FALSE)</f>
        <v>4.0000000000000001E-3</v>
      </c>
      <c r="I109">
        <f>VLOOKUP(C109,WHO_region_parameters!$A$2:$C$7,3,FALSE)</f>
        <v>0</v>
      </c>
      <c r="J109">
        <v>0.3</v>
      </c>
      <c r="K109">
        <v>0.6</v>
      </c>
      <c r="L109">
        <v>1997</v>
      </c>
      <c r="M109">
        <v>0.5</v>
      </c>
      <c r="N109">
        <v>0.20541000000000001</v>
      </c>
      <c r="O109">
        <f>VLOOKUP(C109,WHO_region_parameters!$A$2:$D$7,4,FALSE)*Dx_infacilitytesting_acceptability</f>
        <v>0.26594516366578902</v>
      </c>
    </row>
    <row r="110" spans="1:15" x14ac:dyDescent="0.35">
      <c r="A110" t="s">
        <v>298</v>
      </c>
      <c r="B110" t="s">
        <v>299</v>
      </c>
      <c r="C110" t="s">
        <v>82</v>
      </c>
      <c r="D110">
        <v>0</v>
      </c>
      <c r="E110">
        <v>1</v>
      </c>
      <c r="F110">
        <v>0</v>
      </c>
      <c r="G110">
        <v>0.05</v>
      </c>
      <c r="H110">
        <f>VLOOKUP(C110,WHO_region_parameters!$A$2:$C$7,2,FALSE)</f>
        <v>4.0000000000000001E-3</v>
      </c>
      <c r="I110">
        <f>VLOOKUP(C110,WHO_region_parameters!$A$2:$C$7,3,FALSE)</f>
        <v>0</v>
      </c>
      <c r="J110">
        <v>0.3</v>
      </c>
      <c r="K110">
        <v>0.6</v>
      </c>
      <c r="L110">
        <v>2005</v>
      </c>
      <c r="M110">
        <v>0.5</v>
      </c>
      <c r="N110">
        <v>0.44965000000000005</v>
      </c>
      <c r="O110">
        <f>VLOOKUP(C110,WHO_region_parameters!$A$2:$D$7,4,FALSE)*Dx_infacilitytesting_acceptability</f>
        <v>0.26594516366578902</v>
      </c>
    </row>
    <row r="111" spans="1:15" x14ac:dyDescent="0.35">
      <c r="A111" t="s">
        <v>300</v>
      </c>
      <c r="B111" t="s">
        <v>301</v>
      </c>
      <c r="C111" t="s">
        <v>82</v>
      </c>
      <c r="D111">
        <v>0</v>
      </c>
      <c r="E111">
        <v>1</v>
      </c>
      <c r="F111">
        <v>0</v>
      </c>
      <c r="G111">
        <v>0.05</v>
      </c>
      <c r="H111">
        <f>VLOOKUP(C111,WHO_region_parameters!$A$2:$C$7,2,FALSE)</f>
        <v>4.0000000000000001E-3</v>
      </c>
      <c r="I111">
        <f>VLOOKUP(C111,WHO_region_parameters!$A$2:$C$7,3,FALSE)</f>
        <v>0</v>
      </c>
      <c r="J111">
        <v>0.3</v>
      </c>
      <c r="K111">
        <v>0.6</v>
      </c>
      <c r="L111">
        <v>1995</v>
      </c>
      <c r="M111">
        <v>0.5</v>
      </c>
      <c r="N111">
        <v>0.65342</v>
      </c>
      <c r="O111">
        <f>VLOOKUP(C111,WHO_region_parameters!$A$2:$D$7,4,FALSE)*Dx_infacilitytesting_acceptability</f>
        <v>0.26594516366578902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E731-11F0-484A-B543-F518ABE10A2B}">
  <dimension ref="A1:E32"/>
  <sheetViews>
    <sheetView tabSelected="1" topLeftCell="A23" zoomScale="120" zoomScaleNormal="120" workbookViewId="0">
      <selection activeCell="A31" sqref="A31:A32"/>
    </sheetView>
  </sheetViews>
  <sheetFormatPr defaultRowHeight="14.5" x14ac:dyDescent="0.35"/>
  <cols>
    <col min="1" max="1" width="34.7265625" customWidth="1"/>
    <col min="3" max="3" width="48.36328125" customWidth="1"/>
    <col min="4" max="4" width="80.26953125" customWidth="1"/>
    <col min="5" max="5" width="28" bestFit="1" customWidth="1"/>
  </cols>
  <sheetData>
    <row r="1" spans="1:5" x14ac:dyDescent="0.35">
      <c r="A1" s="1" t="s">
        <v>302</v>
      </c>
      <c r="B1" s="1" t="s">
        <v>303</v>
      </c>
      <c r="C1" s="1" t="s">
        <v>3</v>
      </c>
      <c r="D1" s="1" t="s">
        <v>304</v>
      </c>
      <c r="E1" s="1" t="s">
        <v>384</v>
      </c>
    </row>
    <row r="2" spans="1:5" ht="29" x14ac:dyDescent="0.35">
      <c r="A2" s="6" t="s">
        <v>305</v>
      </c>
      <c r="B2">
        <v>0.92</v>
      </c>
      <c r="C2" s="2" t="s">
        <v>369</v>
      </c>
      <c r="D2" s="2" t="s">
        <v>371</v>
      </c>
      <c r="E2" t="s">
        <v>372</v>
      </c>
    </row>
    <row r="3" spans="1:5" ht="29" x14ac:dyDescent="0.35">
      <c r="A3" s="6" t="s">
        <v>306</v>
      </c>
      <c r="B3">
        <v>0.6</v>
      </c>
      <c r="C3" s="2" t="s">
        <v>370</v>
      </c>
      <c r="D3" s="2" t="s">
        <v>312</v>
      </c>
    </row>
    <row r="4" spans="1:5" ht="32.15" customHeight="1" x14ac:dyDescent="0.35">
      <c r="A4" s="6" t="s">
        <v>307</v>
      </c>
      <c r="B4">
        <v>0.9</v>
      </c>
      <c r="C4" s="2" t="s">
        <v>373</v>
      </c>
      <c r="D4" s="9" t="s">
        <v>308</v>
      </c>
    </row>
    <row r="5" spans="1:5" x14ac:dyDescent="0.35">
      <c r="A5" s="6" t="s">
        <v>309</v>
      </c>
      <c r="B5">
        <v>2026</v>
      </c>
      <c r="C5" s="2" t="s">
        <v>374</v>
      </c>
      <c r="D5" s="2" t="s">
        <v>310</v>
      </c>
    </row>
    <row r="6" spans="1:5" ht="29" x14ac:dyDescent="0.35">
      <c r="A6" s="6" t="s">
        <v>311</v>
      </c>
      <c r="B6">
        <v>2029</v>
      </c>
      <c r="C6" s="2" t="s">
        <v>375</v>
      </c>
      <c r="D6" s="2" t="s">
        <v>312</v>
      </c>
    </row>
    <row r="7" spans="1:5" ht="29" x14ac:dyDescent="0.35">
      <c r="A7" s="6" t="s">
        <v>313</v>
      </c>
      <c r="B7">
        <v>0.9</v>
      </c>
      <c r="C7" s="2" t="s">
        <v>376</v>
      </c>
      <c r="D7" s="2" t="s">
        <v>312</v>
      </c>
    </row>
    <row r="8" spans="1:5" x14ac:dyDescent="0.35">
      <c r="A8" s="6" t="s">
        <v>314</v>
      </c>
      <c r="B8">
        <v>0.9</v>
      </c>
      <c r="C8" s="2" t="s">
        <v>377</v>
      </c>
      <c r="D8" s="2" t="s">
        <v>312</v>
      </c>
    </row>
    <row r="9" spans="1:5" ht="43.5" x14ac:dyDescent="0.35">
      <c r="A9" s="6" t="s">
        <v>315</v>
      </c>
      <c r="B9">
        <v>0.5</v>
      </c>
      <c r="C9" s="2" t="s">
        <v>409</v>
      </c>
      <c r="D9" s="5" t="s">
        <v>316</v>
      </c>
    </row>
    <row r="10" spans="1:5" x14ac:dyDescent="0.35">
      <c r="A10" s="6" t="s">
        <v>317</v>
      </c>
      <c r="B10">
        <v>2028</v>
      </c>
      <c r="C10" s="2" t="s">
        <v>378</v>
      </c>
      <c r="D10" s="5" t="s">
        <v>316</v>
      </c>
    </row>
    <row r="11" spans="1:5" x14ac:dyDescent="0.35">
      <c r="A11" s="6" t="s">
        <v>318</v>
      </c>
      <c r="B11">
        <v>2031</v>
      </c>
      <c r="C11" s="2" t="s">
        <v>379</v>
      </c>
      <c r="D11" s="5" t="s">
        <v>316</v>
      </c>
    </row>
    <row r="12" spans="1:5" x14ac:dyDescent="0.35">
      <c r="A12" s="6" t="s">
        <v>353</v>
      </c>
      <c r="B12">
        <v>2028</v>
      </c>
      <c r="C12" s="2" t="s">
        <v>380</v>
      </c>
      <c r="D12" s="5"/>
    </row>
    <row r="13" spans="1:5" x14ac:dyDescent="0.35">
      <c r="A13" s="6" t="s">
        <v>354</v>
      </c>
      <c r="B13">
        <v>2032</v>
      </c>
      <c r="C13" s="2" t="s">
        <v>381</v>
      </c>
      <c r="D13" s="5" t="s">
        <v>383</v>
      </c>
    </row>
    <row r="14" spans="1:5" x14ac:dyDescent="0.35">
      <c r="A14" s="6" t="s">
        <v>319</v>
      </c>
      <c r="B14">
        <v>0.6</v>
      </c>
      <c r="C14" s="2" t="s">
        <v>382</v>
      </c>
      <c r="D14" s="2" t="s">
        <v>320</v>
      </c>
    </row>
    <row r="15" spans="1:5" x14ac:dyDescent="0.35">
      <c r="A15" s="6" t="s">
        <v>321</v>
      </c>
      <c r="B15">
        <v>30</v>
      </c>
      <c r="D15" s="5" t="s">
        <v>322</v>
      </c>
    </row>
    <row r="16" spans="1:5" x14ac:dyDescent="0.35">
      <c r="A16" s="6" t="s">
        <v>323</v>
      </c>
      <c r="B16">
        <v>100</v>
      </c>
      <c r="D16" s="2" t="s">
        <v>324</v>
      </c>
    </row>
    <row r="17" spans="1:4" ht="29" x14ac:dyDescent="0.35">
      <c r="A17" s="6" t="s">
        <v>325</v>
      </c>
      <c r="B17">
        <v>5</v>
      </c>
      <c r="D17" s="2" t="s">
        <v>326</v>
      </c>
    </row>
    <row r="18" spans="1:4" ht="29" x14ac:dyDescent="0.35">
      <c r="A18" s="6" t="s">
        <v>364</v>
      </c>
      <c r="B18">
        <v>0.5</v>
      </c>
      <c r="D18" s="2" t="s">
        <v>365</v>
      </c>
    </row>
    <row r="19" spans="1:4" ht="29" x14ac:dyDescent="0.35">
      <c r="A19" s="6" t="s">
        <v>403</v>
      </c>
      <c r="B19">
        <v>0</v>
      </c>
      <c r="D19" s="2" t="s">
        <v>408</v>
      </c>
    </row>
    <row r="20" spans="1:4" ht="29" x14ac:dyDescent="0.35">
      <c r="A20" s="6" t="s">
        <v>404</v>
      </c>
      <c r="B20">
        <v>0.8</v>
      </c>
      <c r="D20" s="2" t="s">
        <v>407</v>
      </c>
    </row>
    <row r="21" spans="1:4" ht="29" x14ac:dyDescent="0.35">
      <c r="A21" s="6" t="s">
        <v>401</v>
      </c>
      <c r="B21">
        <v>0.05</v>
      </c>
      <c r="D21" s="2" t="s">
        <v>405</v>
      </c>
    </row>
    <row r="22" spans="1:4" ht="29" x14ac:dyDescent="0.35">
      <c r="A22" s="6" t="s">
        <v>402</v>
      </c>
      <c r="B22">
        <v>0.8</v>
      </c>
      <c r="D22" s="2" t="s">
        <v>406</v>
      </c>
    </row>
    <row r="23" spans="1:4" ht="29" x14ac:dyDescent="0.35">
      <c r="A23" s="6" t="s">
        <v>385</v>
      </c>
      <c r="B23">
        <v>0</v>
      </c>
      <c r="D23" s="2" t="s">
        <v>387</v>
      </c>
    </row>
    <row r="24" spans="1:4" x14ac:dyDescent="0.35">
      <c r="A24" s="6" t="s">
        <v>386</v>
      </c>
      <c r="B24">
        <v>0.01</v>
      </c>
      <c r="D24" s="2" t="s">
        <v>388</v>
      </c>
    </row>
    <row r="25" spans="1:4" ht="29" x14ac:dyDescent="0.35">
      <c r="A25" s="6" t="s">
        <v>391</v>
      </c>
      <c r="B25">
        <v>0.5</v>
      </c>
      <c r="D25" s="2" t="s">
        <v>389</v>
      </c>
    </row>
    <row r="26" spans="1:4" ht="29" x14ac:dyDescent="0.35">
      <c r="A26" s="6" t="s">
        <v>392</v>
      </c>
      <c r="B26">
        <v>0.5</v>
      </c>
      <c r="D26" s="2" t="s">
        <v>390</v>
      </c>
    </row>
    <row r="27" spans="1:4" ht="29" x14ac:dyDescent="0.35">
      <c r="A27" s="6" t="s">
        <v>396</v>
      </c>
      <c r="B27">
        <v>0</v>
      </c>
      <c r="D27" s="2" t="s">
        <v>397</v>
      </c>
    </row>
    <row r="28" spans="1:4" x14ac:dyDescent="0.35">
      <c r="A28" s="6" t="s">
        <v>393</v>
      </c>
      <c r="B28">
        <v>0.01</v>
      </c>
      <c r="D28" s="2" t="s">
        <v>398</v>
      </c>
    </row>
    <row r="29" spans="1:4" ht="29" x14ac:dyDescent="0.35">
      <c r="A29" s="6" t="s">
        <v>394</v>
      </c>
      <c r="B29">
        <v>0.5</v>
      </c>
      <c r="D29" s="2" t="s">
        <v>399</v>
      </c>
    </row>
    <row r="30" spans="1:4" ht="29" x14ac:dyDescent="0.35">
      <c r="A30" s="6" t="s">
        <v>395</v>
      </c>
      <c r="B30">
        <v>0.5</v>
      </c>
      <c r="D30" s="2" t="s">
        <v>400</v>
      </c>
    </row>
    <row r="31" spans="1:4" x14ac:dyDescent="0.35">
      <c r="A31" s="6" t="s">
        <v>410</v>
      </c>
      <c r="B31">
        <v>0.6</v>
      </c>
      <c r="D31" s="2" t="s">
        <v>411</v>
      </c>
    </row>
    <row r="32" spans="1:4" ht="29" x14ac:dyDescent="0.35">
      <c r="A32" s="6" t="s">
        <v>412</v>
      </c>
      <c r="B32">
        <v>0.2</v>
      </c>
      <c r="D32" s="2" t="s">
        <v>413</v>
      </c>
    </row>
  </sheetData>
  <hyperlinks>
    <hyperlink ref="D4" r:id="rId1" xr:uid="{6C608058-9D31-4C99-ADB5-8E8AF527D663}"/>
  </hyperlinks>
  <pageMargins left="0.7" right="0.7" top="0.75" bottom="0.75" header="0.3" footer="0.3"/>
  <pageSetup paperSize="9" orientation="portrait" horizontalDpi="4294967293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39F2-1EAC-4666-A91D-ABC857B0018A}">
  <dimension ref="A1:E24"/>
  <sheetViews>
    <sheetView workbookViewId="0">
      <selection activeCell="D1" sqref="D1"/>
    </sheetView>
  </sheetViews>
  <sheetFormatPr defaultRowHeight="14.5" x14ac:dyDescent="0.35"/>
  <cols>
    <col min="1" max="1" width="19.453125" customWidth="1"/>
    <col min="2" max="2" width="26.81640625" bestFit="1" customWidth="1"/>
    <col min="3" max="3" width="30" bestFit="1" customWidth="1"/>
    <col min="4" max="4" width="24.6328125" bestFit="1" customWidth="1"/>
  </cols>
  <sheetData>
    <row r="1" spans="1:5" x14ac:dyDescent="0.35">
      <c r="A1" t="s">
        <v>66</v>
      </c>
      <c r="B1" s="1" t="s">
        <v>327</v>
      </c>
      <c r="C1" s="1" t="s">
        <v>328</v>
      </c>
      <c r="D1" s="1" t="s">
        <v>363</v>
      </c>
    </row>
    <row r="2" spans="1:5" x14ac:dyDescent="0.35">
      <c r="A2" t="s">
        <v>82</v>
      </c>
      <c r="B2">
        <v>4.0000000000000001E-3</v>
      </c>
      <c r="C2">
        <v>0</v>
      </c>
      <c r="D2">
        <v>0.53189032733157804</v>
      </c>
    </row>
    <row r="3" spans="1:5" x14ac:dyDescent="0.35">
      <c r="A3" t="s">
        <v>105</v>
      </c>
      <c r="B3">
        <v>7.0000000000000001E-3</v>
      </c>
      <c r="C3">
        <v>3.0999999999999999E-3</v>
      </c>
      <c r="D3">
        <v>0.85392546885415399</v>
      </c>
    </row>
    <row r="4" spans="1:5" x14ac:dyDescent="0.35">
      <c r="A4" t="s">
        <v>79</v>
      </c>
      <c r="B4">
        <v>4.0000000000000001E-3</v>
      </c>
      <c r="C4">
        <v>1.2500000000000001E-2</v>
      </c>
      <c r="D4">
        <v>0.69436581730216695</v>
      </c>
    </row>
    <row r="5" spans="1:5" x14ac:dyDescent="0.35">
      <c r="A5" t="s">
        <v>85</v>
      </c>
      <c r="B5">
        <v>1.4999999999999999E-2</v>
      </c>
      <c r="C5">
        <v>1.2699999999999999E-2</v>
      </c>
      <c r="D5">
        <v>0.84084156705589697</v>
      </c>
    </row>
    <row r="6" spans="1:5" x14ac:dyDescent="0.35">
      <c r="A6" t="s">
        <v>98</v>
      </c>
      <c r="B6">
        <v>0.01</v>
      </c>
      <c r="C6">
        <v>0</v>
      </c>
      <c r="D6">
        <v>0.70931387779132204</v>
      </c>
    </row>
    <row r="7" spans="1:5" x14ac:dyDescent="0.35">
      <c r="A7" t="s">
        <v>114</v>
      </c>
      <c r="B7">
        <v>1.6E-2</v>
      </c>
      <c r="C7">
        <v>3.8E-3</v>
      </c>
      <c r="D7">
        <v>0.56037510674171098</v>
      </c>
    </row>
    <row r="11" spans="1:5" x14ac:dyDescent="0.35">
      <c r="E11" s="14"/>
    </row>
    <row r="12" spans="1:5" x14ac:dyDescent="0.35">
      <c r="E12" s="14"/>
    </row>
    <row r="13" spans="1:5" x14ac:dyDescent="0.35">
      <c r="E13" s="15"/>
    </row>
    <row r="14" spans="1:5" x14ac:dyDescent="0.35">
      <c r="E14" s="15"/>
    </row>
    <row r="15" spans="1:5" x14ac:dyDescent="0.35">
      <c r="E15" s="15"/>
    </row>
    <row r="16" spans="1:5" x14ac:dyDescent="0.35">
      <c r="E16" s="15"/>
    </row>
    <row r="17" spans="5:5" x14ac:dyDescent="0.35">
      <c r="E17" s="15"/>
    </row>
    <row r="18" spans="5:5" x14ac:dyDescent="0.35">
      <c r="E18" s="15"/>
    </row>
    <row r="19" spans="5:5" x14ac:dyDescent="0.35">
      <c r="E19" s="15"/>
    </row>
    <row r="20" spans="5:5" x14ac:dyDescent="0.35">
      <c r="E20" s="15"/>
    </row>
    <row r="21" spans="5:5" x14ac:dyDescent="0.35">
      <c r="E21" s="15"/>
    </row>
    <row r="22" spans="5:5" x14ac:dyDescent="0.35">
      <c r="E22" s="15"/>
    </row>
    <row r="23" spans="5:5" x14ac:dyDescent="0.35">
      <c r="E23" s="15"/>
    </row>
    <row r="24" spans="5:5" x14ac:dyDescent="0.35">
      <c r="E24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DAB6-3CC6-4A73-81DA-060E35532B9E}">
  <dimension ref="A1:A9"/>
  <sheetViews>
    <sheetView workbookViewId="0">
      <selection activeCell="A10" sqref="A10"/>
    </sheetView>
  </sheetViews>
  <sheetFormatPr defaultRowHeight="14.5" x14ac:dyDescent="0.35"/>
  <sheetData>
    <row r="1" spans="1:1" x14ac:dyDescent="0.35">
      <c r="A1" t="s">
        <v>329</v>
      </c>
    </row>
    <row r="4" spans="1:1" x14ac:dyDescent="0.35">
      <c r="A4" t="s">
        <v>357</v>
      </c>
    </row>
    <row r="5" spans="1:1" x14ac:dyDescent="0.35">
      <c r="A5" t="s">
        <v>359</v>
      </c>
    </row>
    <row r="6" spans="1:1" x14ac:dyDescent="0.35">
      <c r="A6" t="s">
        <v>358</v>
      </c>
    </row>
    <row r="9" spans="1:1" x14ac:dyDescent="0.35">
      <c r="A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Scenario_descriptions</vt:lpstr>
      <vt:lpstr>CountryParameters</vt:lpstr>
      <vt:lpstr>GlobalParams</vt:lpstr>
      <vt:lpstr>WHO_region_parameters</vt:lpstr>
      <vt:lpstr>Notes</vt:lpstr>
      <vt:lpstr>Dx_infacilitytesting_acceptability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Pickles, Michael R E H</dc:creator>
  <cp:keywords/>
  <dc:description/>
  <cp:lastModifiedBy>Pickles, Michael R E H</cp:lastModifiedBy>
  <cp:revision/>
  <dcterms:created xsi:type="dcterms:W3CDTF">2026-07-18T13:39:31Z</dcterms:created>
  <dcterms:modified xsi:type="dcterms:W3CDTF">2026-09-14T21:01:28Z</dcterms:modified>
  <cp:category/>
  <cp:contentStatus/>
</cp:coreProperties>
</file>